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sos de prueba" sheetId="2" state="visible" r:id="rId4"/>
    <sheet name="Requisitos" sheetId="3" state="visible" r:id="rId5"/>
    <sheet name="Bugs" sheetId="4" state="visible" r:id="rId6"/>
    <sheet name="Cómo usar" sheetId="5" state="visible" r:id="rId7"/>
  </sheets>
  <definedNames>
    <definedName function="false" hidden="false" localSheetId="1" name="_xlnm.Print_Titles" vbProcedure="false">'Casos de prueba'!$1:$1</definedName>
    <definedName function="false" hidden="true" localSheetId="1" name="_xlnm._FilterDatabase" vbProcedure="false">'Casos de prueba'!$A$1:$R$51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<sst xmlns="http://schemas.openxmlformats.org/spreadsheetml/2006/main" count="878" uniqueCount="449">
  <si>
    <t xml:space="preserve">Resumen de pruebas: SauceDemo</t>
  </si>
  <si>
    <t xml:space="preserve">Esta hoja se calcula sola a partir de las hojas "Casos de prueba", "Requisitos" y "Bugs". No escribas aquí.</t>
  </si>
  <si>
    <t xml:space="preserve">Ejecución</t>
  </si>
  <si>
    <t xml:space="preserve">Total de casos</t>
  </si>
  <si>
    <t xml:space="preserve">Aprobados</t>
  </si>
  <si>
    <t xml:space="preserve">Fallidos</t>
  </si>
  <si>
    <t xml:space="preserve">Bloqueados</t>
  </si>
  <si>
    <t xml:space="preserve">No ejecutados</t>
  </si>
  <si>
    <t xml:space="preserve">% de ejecución (aprobados + fallidos ÷ total)</t>
  </si>
  <si>
    <t xml:space="preserve">% de aprobación (aprobados ÷ ejecutados)</t>
  </si>
  <si>
    <t xml:space="preserve">Criterios de salida (plan de pruebas, sección 7)</t>
  </si>
  <si>
    <t xml:space="preserve">Estado</t>
  </si>
  <si>
    <t xml:space="preserve">Casos de prioridad Alta ejecutados (meta: 100 %)</t>
  </si>
  <si>
    <t xml:space="preserve">Total de casos ejecutados (meta: 90 % o más)</t>
  </si>
  <si>
    <t xml:space="preserve">Cobertura de requisitos</t>
  </si>
  <si>
    <t xml:space="preserve">Total de requisitos</t>
  </si>
  <si>
    <t xml:space="preserve">Requisitos cubiertos (con al menos un caso ejecutado)</t>
  </si>
  <si>
    <t xml:space="preserve">Requisitos con fallas</t>
  </si>
  <si>
    <t xml:space="preserve">% de cobertura de requisitos</t>
  </si>
  <si>
    <t xml:space="preserve">Por módulo</t>
  </si>
  <si>
    <t xml:space="preserve">Módulo</t>
  </si>
  <si>
    <t xml:space="preserve">Casos</t>
  </si>
  <si>
    <t xml:space="preserve">Ejecutados</t>
  </si>
  <si>
    <t xml:space="preserve">Bugs</t>
  </si>
  <si>
    <t xml:space="preserve">Login</t>
  </si>
  <si>
    <t xml:space="preserve">Catálogo</t>
  </si>
  <si>
    <t xml:space="preserve">Detalle</t>
  </si>
  <si>
    <t xml:space="preserve">Carrito</t>
  </si>
  <si>
    <t xml:space="preserve">Checkout</t>
  </si>
  <si>
    <t xml:space="preserve">Menú</t>
  </si>
  <si>
    <t xml:space="preserve">Flujo completo</t>
  </si>
  <si>
    <t xml:space="preserve">Total</t>
  </si>
  <si>
    <t xml:space="preserve">Bugs por severidad</t>
  </si>
  <si>
    <t xml:space="preserve">Crítica</t>
  </si>
  <si>
    <t xml:space="preserve">Alta</t>
  </si>
  <si>
    <t xml:space="preserve">Media</t>
  </si>
  <si>
    <t xml:space="preserve">Baja</t>
  </si>
  <si>
    <t xml:space="preserve">Total de bugs registrados</t>
  </si>
  <si>
    <t xml:space="preserve">Bugs confirmados (reproducidos 2 veces o más)</t>
  </si>
  <si>
    <t xml:space="preserve">Bugs por usuario</t>
  </si>
  <si>
    <t xml:space="preserve">standard_user</t>
  </si>
  <si>
    <t xml:space="preserve">locked_out_user</t>
  </si>
  <si>
    <t xml:space="preserve">problem_user</t>
  </si>
  <si>
    <t xml:space="preserve">performance_glitch_user</t>
  </si>
  <si>
    <t xml:space="preserve">error_user</t>
  </si>
  <si>
    <t xml:space="preserve">visual_user</t>
  </si>
  <si>
    <t xml:space="preserve">Estos números van en la sección 6 (Resultados) del README.</t>
  </si>
  <si>
    <t xml:space="preserve">ID</t>
  </si>
  <si>
    <t xml:space="preserve">Requisito</t>
  </si>
  <si>
    <t xml:space="preserve">Título</t>
  </si>
  <si>
    <t xml:space="preserve">Usuario</t>
  </si>
  <si>
    <t xml:space="preserve">Precondiciones</t>
  </si>
  <si>
    <t xml:space="preserve">Pasos</t>
  </si>
  <si>
    <t xml:space="preserve">Datos de prueba</t>
  </si>
  <si>
    <t xml:space="preserve">Resultado esperado</t>
  </si>
  <si>
    <t xml:space="preserve">Prioridad</t>
  </si>
  <si>
    <t xml:space="preserve">Tipo</t>
  </si>
  <si>
    <t xml:space="preserve">Técnica de diseño</t>
  </si>
  <si>
    <t xml:space="preserve">Resultado obtenido</t>
  </si>
  <si>
    <t xml:space="preserve">ID Bug</t>
  </si>
  <si>
    <t xml:space="preserve">Fecha de ejecución</t>
  </si>
  <si>
    <t xml:space="preserve">Navegador</t>
  </si>
  <si>
    <t xml:space="preserve">Notas</t>
  </si>
  <si>
    <t xml:space="preserve">TC-001</t>
  </si>
  <si>
    <t xml:space="preserve">REQ-01</t>
  </si>
  <si>
    <t xml:space="preserve">Inicio de sesión exitoso con usuario estándar</t>
  </si>
  <si>
    <t xml:space="preserve">Página de login abierta en ventana de incógnito</t>
  </si>
  <si>
    <t xml:space="preserve">1. Escribir el usuario.
2. Escribir la contraseña.
3. Hacer clic en "Login".</t>
  </si>
  <si>
    <t xml:space="preserve">Usuario: standard_user
Contraseña: válida</t>
  </si>
  <si>
    <t xml:space="preserve">Se abre la página de productos (/inventory.html) con el título "Products".</t>
  </si>
  <si>
    <t xml:space="preserve">Funcional</t>
  </si>
  <si>
    <t xml:space="preserve">Partición de equivalencia (válida)</t>
  </si>
  <si>
    <t xml:space="preserve">No ejecutado</t>
  </si>
  <si>
    <t xml:space="preserve">TC-002</t>
  </si>
  <si>
    <t xml:space="preserve">REQ-02</t>
  </si>
  <si>
    <t xml:space="preserve">Inicio de sesión con contraseña incorrecta</t>
  </si>
  <si>
    <t xml:space="preserve">1. Escribir el usuario.
2. Escribir una contraseña incorrecta.
3. Hacer clic en "Login".</t>
  </si>
  <si>
    <t xml:space="preserve">Usuario: standard_user
Contraseña: clave123</t>
  </si>
  <si>
    <t xml:space="preserve">No se inicia sesión. Se muestra: "Epic sadface: Username and password do not match any user in this service".</t>
  </si>
  <si>
    <t xml:space="preserve">Negativa</t>
  </si>
  <si>
    <t xml:space="preserve">Partición de equivalencia (inválida)</t>
  </si>
  <si>
    <t xml:space="preserve">TC-003</t>
  </si>
  <si>
    <t xml:space="preserve">Inicio de sesión con usuario inexistente</t>
  </si>
  <si>
    <t xml:space="preserve">usuario_falso</t>
  </si>
  <si>
    <t xml:space="preserve">1. Escribir un usuario que no existe.
2. Escribir la contraseña.
3. Hacer clic en "Login".</t>
  </si>
  <si>
    <t xml:space="preserve">Usuario: usuario_falso
Contraseña: válida</t>
  </si>
  <si>
    <t xml:space="preserve">TC-004</t>
  </si>
  <si>
    <t xml:space="preserve">Inicio de sesión con el usuario vacío</t>
  </si>
  <si>
    <t xml:space="preserve">(vacío)</t>
  </si>
  <si>
    <t xml:space="preserve">1. Dejar vacío el campo de usuario.
2. Escribir la contraseña.
3. Hacer clic en "Login".</t>
  </si>
  <si>
    <t xml:space="preserve">Usuario: (vacío)
Contraseña: válida</t>
  </si>
  <si>
    <t xml:space="preserve">No se inicia sesión. Se muestra: "Epic sadface: Username is required".</t>
  </si>
  <si>
    <t xml:space="preserve">Valores límite (campo vacío)</t>
  </si>
  <si>
    <t xml:space="preserve">TC-005</t>
  </si>
  <si>
    <t xml:space="preserve">Inicio de sesión con la contraseña vacía</t>
  </si>
  <si>
    <t xml:space="preserve">1. Escribir el usuario.
2. Dejar vacía la contraseña.
3. Hacer clic en "Login".</t>
  </si>
  <si>
    <t xml:space="preserve">Usuario: standard_user
Contraseña: (vacía)</t>
  </si>
  <si>
    <t xml:space="preserve">No se inicia sesión. Se muestra: "Epic sadface: Password is required".</t>
  </si>
  <si>
    <t xml:space="preserve">TC-006</t>
  </si>
  <si>
    <t xml:space="preserve">Inicio de sesión con ambos campos vacíos</t>
  </si>
  <si>
    <t xml:space="preserve">1. Dejar ambos campos vacíos.
2. Hacer clic en "Login".</t>
  </si>
  <si>
    <t xml:space="preserve">Usuario: (vacío)
Contraseña: (vacía)</t>
  </si>
  <si>
    <t xml:space="preserve">TC-007</t>
  </si>
  <si>
    <t xml:space="preserve">REQ-03</t>
  </si>
  <si>
    <t xml:space="preserve">Inicio de sesión con usuario bloqueado</t>
  </si>
  <si>
    <t xml:space="preserve">1. Escribir el usuario bloqueado.
2. Escribir la contraseña.
3. Hacer clic en "Login".</t>
  </si>
  <si>
    <t xml:space="preserve">Usuario: locked_out_user
Contraseña: válida</t>
  </si>
  <si>
    <t xml:space="preserve">No se inicia sesión. Se muestra: "Epic sadface: Sorry, this user has been locked out.".</t>
  </si>
  <si>
    <t xml:space="preserve">Partición de equivalencia (bloqueado)</t>
  </si>
  <si>
    <t xml:space="preserve">TC-008</t>
  </si>
  <si>
    <t xml:space="preserve">REQ-04</t>
  </si>
  <si>
    <t xml:space="preserve">La contraseña se oculta al escribirla</t>
  </si>
  <si>
    <t xml:space="preserve">—</t>
  </si>
  <si>
    <t xml:space="preserve">1. Escribir un texto en el campo de contraseña.
2. Observar el campo.</t>
  </si>
  <si>
    <t xml:space="preserve">Contraseña: prueba123</t>
  </si>
  <si>
    <t xml:space="preserve">Los caracteres se ven como puntos, no como texto legible.</t>
  </si>
  <si>
    <t xml:space="preserve">Seguridad / Interfaz</t>
  </si>
  <si>
    <t xml:space="preserve">Verificación de interfaz</t>
  </si>
  <si>
    <t xml:space="preserve">TC-009</t>
  </si>
  <si>
    <t xml:space="preserve">Cerrar el mensaje de error</t>
  </si>
  <si>
    <t xml:space="preserve">Mensaje de error visible (ejecutar antes TC-004)</t>
  </si>
  <si>
    <t xml:space="preserve">1. Hacer clic en la "X" del mensaje de error.</t>
  </si>
  <si>
    <t xml:space="preserve">El mensaje desaparece y los campos dejan de estar marcados como error.</t>
  </si>
  <si>
    <t xml:space="preserve">Interfaz</t>
  </si>
  <si>
    <t xml:space="preserve">Transición de estados</t>
  </si>
  <si>
    <t xml:space="preserve">TC-010</t>
  </si>
  <si>
    <t xml:space="preserve">Entrar a una página interna sin iniciar sesión</t>
  </si>
  <si>
    <t xml:space="preserve">Ventana de incógnito nueva, sin sesión iniciada</t>
  </si>
  <si>
    <t xml:space="preserve">1. Escribir en la barra de direcciones: https://www.saucedemo.com/inventory.html
2. Presionar Enter.</t>
  </si>
  <si>
    <t xml:space="preserve">URL: /inventory.html</t>
  </si>
  <si>
    <t xml:space="preserve">No se muestran los productos. Aparece el login con el mensaje: "Epic sadface: You can only access '/inventory.html' when you are logged in.".</t>
  </si>
  <si>
    <t xml:space="preserve">Seguridad</t>
  </si>
  <si>
    <t xml:space="preserve">Prueba negativa</t>
  </si>
  <si>
    <t xml:space="preserve">TC-011</t>
  </si>
  <si>
    <t xml:space="preserve">Inicio de sesión con la tecla Enter</t>
  </si>
  <si>
    <t xml:space="preserve">1. Escribir el usuario.
2. Escribir la contraseña.
3. Presionar Enter sin hacer clic en "Login".</t>
  </si>
  <si>
    <t xml:space="preserve">Se inicia sesión igual que con el botón "Login".</t>
  </si>
  <si>
    <t xml:space="preserve">Usabilidad</t>
  </si>
  <si>
    <t xml:space="preserve">Prueba funcional</t>
  </si>
  <si>
    <t xml:space="preserve">TC-012</t>
  </si>
  <si>
    <t xml:space="preserve">REQ-05</t>
  </si>
  <si>
    <t xml:space="preserve">El catálogo muestra los 6 productos completos</t>
  </si>
  <si>
    <t xml:space="preserve">Sesión iniciada con standard_user; carrito vacío</t>
  </si>
  <si>
    <t xml:space="preserve">1. Observar la página de productos.
2. Revisar cada producto.</t>
  </si>
  <si>
    <t xml:space="preserve">Sauce Labs Backpack $29.99
Sauce Labs Bike Light $9.99
Sauce Labs Bolt T-Shirt $15.99
Sauce Labs Fleece Jacket $49.99
Sauce Labs Onesie $7.99
Test.allTheThings() T-Shirt (Red) $15.99</t>
  </si>
  <si>
    <t xml:space="preserve">Se ven 6 productos. Cada uno tiene imagen, nombre, descripción, precio y botón "Add to cart". Nombres y precios coinciden con los datos de prueba.</t>
  </si>
  <si>
    <t xml:space="preserve">Funcional / Interfaz</t>
  </si>
  <si>
    <t xml:space="preserve">Verificación contra oráculo</t>
  </si>
  <si>
    <t xml:space="preserve">TC-013</t>
  </si>
  <si>
    <t xml:space="preserve">REQ-06</t>
  </si>
  <si>
    <t xml:space="preserve">Orden por defecto: nombre de la A a la Z</t>
  </si>
  <si>
    <t xml:space="preserve">1. Observar el menú de orden (arriba a la derecha).
2. Observar el orden de los productos.</t>
  </si>
  <si>
    <t xml:space="preserve">El menú dice "Name (A to Z)" y el primer producto es "Sauce Labs Backpack".</t>
  </si>
  <si>
    <t xml:space="preserve">TC-014</t>
  </si>
  <si>
    <t xml:space="preserve">Ordenar por nombre de la Z a la A</t>
  </si>
  <si>
    <t xml:space="preserve">1. Abrir el menú de orden.
2. Elegir "Name (Z to A)".</t>
  </si>
  <si>
    <t xml:space="preserve">Opción: Name (Z to A)</t>
  </si>
  <si>
    <t xml:space="preserve">El primer producto es "Test.allTheThings() T-Shirt (Red)" y el último es "Sauce Labs Backpack".</t>
  </si>
  <si>
    <t xml:space="preserve">Partición de equivalencia (opciones de orden)</t>
  </si>
  <si>
    <t xml:space="preserve">TC-015</t>
  </si>
  <si>
    <t xml:space="preserve">Ordenar por precio de menor a mayor</t>
  </si>
  <si>
    <t xml:space="preserve">1. Abrir el menú de orden.
2. Elegir "Price (low to high)".</t>
  </si>
  <si>
    <t xml:space="preserve">Opción: Price (low to high)</t>
  </si>
  <si>
    <t xml:space="preserve">El primero es "Sauce Labs Onesie" ($7.99) y el último es "Sauce Labs Fleece Jacket" ($49.99).</t>
  </si>
  <si>
    <t xml:space="preserve">TC-016</t>
  </si>
  <si>
    <t xml:space="preserve">Ordenar por precio de mayor a menor</t>
  </si>
  <si>
    <t xml:space="preserve">1. Abrir el menú de orden.
2. Elegir "Price (high to low)".</t>
  </si>
  <si>
    <t xml:space="preserve">Opción: Price (high to low)</t>
  </si>
  <si>
    <t xml:space="preserve">El primero es "Sauce Labs Fleece Jacket" ($49.99) y el último es "Sauce Labs Onesie" ($7.99).</t>
  </si>
  <si>
    <t xml:space="preserve">TC-017</t>
  </si>
  <si>
    <t xml:space="preserve">REQ-07</t>
  </si>
  <si>
    <t xml:space="preserve">Agregar un producto al carrito desde el catálogo</t>
  </si>
  <si>
    <t xml:space="preserve">1. Hacer clic en "Add to cart" de Sauce Labs Backpack.</t>
  </si>
  <si>
    <t xml:space="preserve">Producto: Sauce Labs Backpack</t>
  </si>
  <si>
    <t xml:space="preserve">El botón cambia a "Remove" y el ícono del carrito muestra "1".</t>
  </si>
  <si>
    <t xml:space="preserve">TC-018</t>
  </si>
  <si>
    <t xml:space="preserve">Quitar un producto del carrito desde el catálogo</t>
  </si>
  <si>
    <t xml:space="preserve">Sesión iniciada con standard_user; Sauce Labs Backpack en el carrito</t>
  </si>
  <si>
    <t xml:space="preserve">1. Hacer clic en "Remove" de Sauce Labs Backpack.</t>
  </si>
  <si>
    <t xml:space="preserve">El botón vuelve a "Add to cart" y el número del ícono del carrito desaparece.</t>
  </si>
  <si>
    <t xml:space="preserve">TC-019</t>
  </si>
  <si>
    <t xml:space="preserve">Agregar los 6 productos al carrito</t>
  </si>
  <si>
    <t xml:space="preserve">1. Hacer clic en "Add to cart" de cada uno de los 6 productos.</t>
  </si>
  <si>
    <t xml:space="preserve">Los 6 productos</t>
  </si>
  <si>
    <t xml:space="preserve">Los 6 botones dicen "Remove" y el ícono del carrito muestra "6".</t>
  </si>
  <si>
    <t xml:space="preserve">Valores límite (máximo de productos)</t>
  </si>
  <si>
    <t xml:space="preserve">TC-020</t>
  </si>
  <si>
    <t xml:space="preserve">REQ-08</t>
  </si>
  <si>
    <t xml:space="preserve">Abrir el detalle desde el nombre del producto</t>
  </si>
  <si>
    <t xml:space="preserve">1. Hacer clic en el nombre "Sauce Labs Bike Light".
2. Comparar con lo que muestra el catálogo.</t>
  </si>
  <si>
    <t xml:space="preserve">Producto: Sauce Labs Bike Light ($9.99)</t>
  </si>
  <si>
    <t xml:space="preserve">Se abre el detalle con el mismo nombre, descripción, precio ($9.99) e imagen que en el catálogo.</t>
  </si>
  <si>
    <t xml:space="preserve">TC-021</t>
  </si>
  <si>
    <t xml:space="preserve">Agregar al carrito desde el detalle</t>
  </si>
  <si>
    <t xml:space="preserve">Detalle de Sauce Labs Bike Light abierto; carrito vacío</t>
  </si>
  <si>
    <t xml:space="preserve">1. Hacer clic en "Add to cart".</t>
  </si>
  <si>
    <t xml:space="preserve">Producto: Sauce Labs Bike Light</t>
  </si>
  <si>
    <t xml:space="preserve">TC-022</t>
  </si>
  <si>
    <t xml:space="preserve">Volver al catálogo desde el detalle</t>
  </si>
  <si>
    <t xml:space="preserve">Detalle de un producto abierto (continuar desde TC-021)</t>
  </si>
  <si>
    <t xml:space="preserve">1. Hacer clic en "Back to products".</t>
  </si>
  <si>
    <t xml:space="preserve">Vuelve a la página de productos. El producto agregado en TC-021 muestra el botón "Remove".</t>
  </si>
  <si>
    <t xml:space="preserve">TC-023</t>
  </si>
  <si>
    <t xml:space="preserve">El carrito muestra los productos agregados</t>
  </si>
  <si>
    <t xml:space="preserve">Sesión iniciada con standard_user; Backpack y Bike Light en el carrito</t>
  </si>
  <si>
    <t xml:space="preserve">1. Hacer clic en el ícono del carrito.
2. Revisar la lista.</t>
  </si>
  <si>
    <t xml:space="preserve">Productos: Sauce Labs Backpack ($29.99), Sauce Labs Bike Light ($9.99)</t>
  </si>
  <si>
    <t xml:space="preserve">Se abre "Your Cart" con los 2 productos. Cada uno muestra cantidad 1, nombre, descripción y el mismo precio del catálogo.</t>
  </si>
  <si>
    <t xml:space="preserve">TC-024</t>
  </si>
  <si>
    <t xml:space="preserve">Quitar un producto desde el carrito</t>
  </si>
  <si>
    <t xml:space="preserve">Carrito abierto con Backpack y Bike Light (continuar desde TC-023)</t>
  </si>
  <si>
    <t xml:space="preserve">1. Hacer clic en "Remove" de Sauce Labs Bike Light.</t>
  </si>
  <si>
    <t xml:space="preserve">Bike Light desaparece de la lista, queda solo Backpack y el ícono del carrito muestra "1".</t>
  </si>
  <si>
    <t xml:space="preserve">TC-025</t>
  </si>
  <si>
    <t xml:space="preserve">Seguir comprando desde el carrito</t>
  </si>
  <si>
    <t xml:space="preserve">Carrito abierto con al menos 1 producto</t>
  </si>
  <si>
    <t xml:space="preserve">1. Hacer clic en "Continue Shopping".</t>
  </si>
  <si>
    <t xml:space="preserve">Vuelve a la página de productos. Lo agregado sigue en el carrito (botón "Remove" y el mismo número en el ícono).</t>
  </si>
  <si>
    <t xml:space="preserve">TC-026</t>
  </si>
  <si>
    <t xml:space="preserve">REQ-12</t>
  </si>
  <si>
    <t xml:space="preserve">Intentar comprar con el carrito vacío</t>
  </si>
  <si>
    <t xml:space="preserve">1. Abrir el carrito vacío.
2. Hacer clic en "Checkout".
3. Si deja avanzar, llenar los datos, hacer clic en "Continue" y luego en "Finish".</t>
  </si>
  <si>
    <t xml:space="preserve">First Name: Ana
Last Name: Gómez
Zip/Postal Code: 110111</t>
  </si>
  <si>
    <t xml:space="preserve">El sistema no deja avanzar al checkout sin productos, o muestra un aviso. (Requisito inferido: confirmar con el dueño del producto.)</t>
  </si>
  <si>
    <t xml:space="preserve">Valores límite (0 productos)</t>
  </si>
  <si>
    <t xml:space="preserve">TC-027</t>
  </si>
  <si>
    <t xml:space="preserve">REQ-09</t>
  </si>
  <si>
    <t xml:space="preserve">Datos de envío válidos</t>
  </si>
  <si>
    <t xml:space="preserve">Sesión iniciada con standard_user; Sauce Labs Backpack en el carrito; carrito abierto</t>
  </si>
  <si>
    <t xml:space="preserve">1. Hacer clic en "Checkout".
2. Llenar First Name, Last Name y Zip/Postal Code.
3. Hacer clic en "Continue".</t>
  </si>
  <si>
    <t xml:space="preserve">Se abre la página "Checkout: Overview".</t>
  </si>
  <si>
    <t xml:space="preserve">TC-028</t>
  </si>
  <si>
    <t xml:space="preserve">Nombre vacío en los datos de envío</t>
  </si>
  <si>
    <t xml:space="preserve">Página "Checkout: Your Information" abierta con un producto en el carrito</t>
  </si>
  <si>
    <t xml:space="preserve">1. Dejar vacío First Name.
2. Llenar Last Name y Zip/Postal Code.
3. Hacer clic en "Continue".</t>
  </si>
  <si>
    <t xml:space="preserve">First Name: (vacío)
Last Name: Gómez
Zip/Postal Code: 110111</t>
  </si>
  <si>
    <t xml:space="preserve">No avanza. Se muestra: "Error: First Name is required".</t>
  </si>
  <si>
    <t xml:space="preserve">TC-029</t>
  </si>
  <si>
    <t xml:space="preserve">Apellido vacío en los datos de envío</t>
  </si>
  <si>
    <t xml:space="preserve">1. Llenar First Name.
2. Dejar vacío Last Name.
3. Llenar Zip/Postal Code.
4. Hacer clic en "Continue".</t>
  </si>
  <si>
    <t xml:space="preserve">First Name: Ana
Last Name: (vacío)
Zip/Postal Code: 110111</t>
  </si>
  <si>
    <t xml:space="preserve">No avanza. Se muestra: "Error: Last Name is required".</t>
  </si>
  <si>
    <t xml:space="preserve">TC-030</t>
  </si>
  <si>
    <t xml:space="preserve">Código postal vacío en los datos de envío</t>
  </si>
  <si>
    <t xml:space="preserve">1. Llenar First Name y Last Name.
2. Dejar vacío Zip/Postal Code.
3. Hacer clic en "Continue".</t>
  </si>
  <si>
    <t xml:space="preserve">First Name: Ana
Last Name: Gómez
Zip/Postal Code: (vacío)</t>
  </si>
  <si>
    <t xml:space="preserve">No avanza. Se muestra: "Error: Postal Code is required".</t>
  </si>
  <si>
    <t xml:space="preserve">TC-031</t>
  </si>
  <si>
    <t xml:space="preserve">REQ-10</t>
  </si>
  <si>
    <t xml:space="preserve">Datos de envío solo con espacios</t>
  </si>
  <si>
    <t xml:space="preserve">1. Escribir solo espacios en los tres campos.
2. Hacer clic en "Continue".</t>
  </si>
  <si>
    <t xml:space="preserve">Los tres campos: "   " (tres espacios)</t>
  </si>
  <si>
    <t xml:space="preserve">No avanza y pide completar los datos. (Requisito inferido: confirmar con el dueño del producto.)</t>
  </si>
  <si>
    <t xml:space="preserve">TC-032</t>
  </si>
  <si>
    <t xml:space="preserve">Código postal con letras y símbolos</t>
  </si>
  <si>
    <t xml:space="preserve">1. Llenar First Name y Last Name.
2. Escribir letras y símbolos en Zip/Postal Code.
3. Hacer clic en "Continue".</t>
  </si>
  <si>
    <t xml:space="preserve">First Name: Ana
Last Name: Gómez
Zip/Postal Code: abc!@#</t>
  </si>
  <si>
    <t xml:space="preserve">No avanza e indica que el código postal no es válido. (Requisito inferido: confirmar con el dueño del producto.)</t>
  </si>
  <si>
    <t xml:space="preserve">TC-033</t>
  </si>
  <si>
    <t xml:space="preserve">REQ-11</t>
  </si>
  <si>
    <t xml:space="preserve">Cálculo de subtotal, impuesto y total</t>
  </si>
  <si>
    <t xml:space="preserve">Backpack ($29.99) y Bike Light ($9.99) en el carrito; datos de envío llenos</t>
  </si>
  <si>
    <t xml:space="preserve">1. Llegar a "Checkout: Overview".
2. Revisar productos, Item total, Tax y Total.
3. Verificar los montos con una calculadora.</t>
  </si>
  <si>
    <t xml:space="preserve">Sauce Labs Backpack $29.99
Sauce Labs Bike Light $9.99</t>
  </si>
  <si>
    <t xml:space="preserve">Se listan los 2 productos. Item total: $39.98. Tax: $3.20 (8 %). Total: $43.18.</t>
  </si>
  <si>
    <t xml:space="preserve">Verificación de cálculo</t>
  </si>
  <si>
    <t xml:space="preserve">TC-034</t>
  </si>
  <si>
    <t xml:space="preserve">REQ-13</t>
  </si>
  <si>
    <t xml:space="preserve">Cancelar la compra en el resumen</t>
  </si>
  <si>
    <t xml:space="preserve">Página "Checkout: Overview" abierta con productos en el carrito</t>
  </si>
  <si>
    <t xml:space="preserve">1. Hacer clic en "Cancel".
2. Revisar el ícono del carrito.</t>
  </si>
  <si>
    <t xml:space="preserve">Sale del checkout sin completar la compra y los productos siguen en el carrito.</t>
  </si>
  <si>
    <t xml:space="preserve">TC-035</t>
  </si>
  <si>
    <t xml:space="preserve">Finalizar la compra</t>
  </si>
  <si>
    <t xml:space="preserve">1. Hacer clic en "Finish".
2. Revisar el ícono del carrito.</t>
  </si>
  <si>
    <t xml:space="preserve">Se muestra "Thank you for your order!" y el ícono del carrito queda sin número.</t>
  </si>
  <si>
    <t xml:space="preserve">Camino feliz</t>
  </si>
  <si>
    <t xml:space="preserve">TC-036</t>
  </si>
  <si>
    <t xml:space="preserve">Volver al inicio después de comprar</t>
  </si>
  <si>
    <t xml:space="preserve">Página de confirmación abierta (continuar desde TC-035)</t>
  </si>
  <si>
    <t xml:space="preserve">1. Hacer clic en "Back Home".</t>
  </si>
  <si>
    <t xml:space="preserve">Vuelve a la página de productos y todos los botones dicen "Add to cart".</t>
  </si>
  <si>
    <t xml:space="preserve">TC-037</t>
  </si>
  <si>
    <t xml:space="preserve">Cerrar sesión y volver atrás con el navegador</t>
  </si>
  <si>
    <t xml:space="preserve">1. Abrir el menú (☰, arriba a la izquierda).
2. Hacer clic en "Logout".
3. Hacer clic en el botón Atrás del navegador.</t>
  </si>
  <si>
    <t xml:space="preserve">Paso 2: vuelve a la página de login. Paso 3: no se muestran los productos; se pide iniciar sesión.</t>
  </si>
  <si>
    <t xml:space="preserve">TC-038</t>
  </si>
  <si>
    <t xml:space="preserve">REQ-14</t>
  </si>
  <si>
    <t xml:space="preserve">Restablecer el estado de la app</t>
  </si>
  <si>
    <t xml:space="preserve">Sesión iniciada con standard_user; 2 productos en el carrito; página de productos abierta</t>
  </si>
  <si>
    <t xml:space="preserve">1. Abrir el menú (☰).
2. Hacer clic en "Reset App State".
3. Revisar el ícono del carrito y los botones de los productos.</t>
  </si>
  <si>
    <t xml:space="preserve">El carrito queda vacío (sin número) y todos los botones vuelven a decir "Add to cart".</t>
  </si>
  <si>
    <t xml:space="preserve">TC-039</t>
  </si>
  <si>
    <t xml:space="preserve">Opción "About" del menú</t>
  </si>
  <si>
    <t xml:space="preserve">1. Abrir el menú (☰).
2. Hacer clic en "About".</t>
  </si>
  <si>
    <t xml:space="preserve">Se abre el sitio de Sauce Labs (saucelabs.com).</t>
  </si>
  <si>
    <t xml:space="preserve">TC-040</t>
  </si>
  <si>
    <t xml:space="preserve">Opción "All Items" desde el carrito</t>
  </si>
  <si>
    <t xml:space="preserve">1. Abrir el carrito.
2. Abrir el menú (☰).
3. Hacer clic en "All Items".</t>
  </si>
  <si>
    <t xml:space="preserve">Vuelve a la página de productos.</t>
  </si>
  <si>
    <t xml:space="preserve">TC-041</t>
  </si>
  <si>
    <t xml:space="preserve">REQ-15</t>
  </si>
  <si>
    <t xml:space="preserve">problem_user: imágenes correctas en el catálogo</t>
  </si>
  <si>
    <t xml:space="preserve">Sesión iniciada con problem_user en ventana de incógnito</t>
  </si>
  <si>
    <t xml:space="preserve">1. Observar la imagen de cada producto.
2. Comparar con el catálogo de standard_user.</t>
  </si>
  <si>
    <t xml:space="preserve">Cada producto muestra su propia imagen, igual que con standard_user.</t>
  </si>
  <si>
    <t xml:space="preserve">Interfaz / Comparativa</t>
  </si>
  <si>
    <t xml:space="preserve">Comparación con oráculo</t>
  </si>
  <si>
    <t xml:space="preserve">TC-042</t>
  </si>
  <si>
    <t xml:space="preserve">problem_user: flujo completo de compra</t>
  </si>
  <si>
    <t xml:space="preserve">1. Iniciar sesión.
2. Agregar Sauce Labs Backpack y Sauce Labs Bike Light.
3. Abrir el carrito y hacer clic en "Checkout".
4. Llenar los datos de envío y hacer clic en "Continue".
5. Revisar el resumen y hacer clic en "Finish".</t>
  </si>
  <si>
    <t xml:space="preserve">Cada paso funciona igual que con standard_user y la compra termina con "Thank you for your order!".</t>
  </si>
  <si>
    <t xml:space="preserve">Funcional / Comparativa</t>
  </si>
  <si>
    <t xml:space="preserve">TC-043</t>
  </si>
  <si>
    <t xml:space="preserve">problem_user: ordenar por precio</t>
  </si>
  <si>
    <t xml:space="preserve">Sesión iniciada con problem_user</t>
  </si>
  <si>
    <t xml:space="preserve">Los productos quedan ordenados de menor a mayor precio, igual que en TC-015.</t>
  </si>
  <si>
    <t xml:space="preserve">TC-044</t>
  </si>
  <si>
    <t xml:space="preserve">REQ-16</t>
  </si>
  <si>
    <t xml:space="preserve">performance_glitch_user: tiempo de inicio de sesión</t>
  </si>
  <si>
    <t xml:space="preserve">1. Escribir usuario y contraseña.
2. Iniciar el cronómetro al hacer clic en "Login".
3. Detenerlo cuando se vean los productos.
4. Repetir 3 veces y anotar los tiempos en Notas.</t>
  </si>
  <si>
    <t xml:space="preserve">Usuario: performance_glitch_user
Contraseña: válida</t>
  </si>
  <si>
    <t xml:space="preserve">La página de productos carga en 3 segundos o menos. (Requisito inferido: confirmar con el dueño del producto.)</t>
  </si>
  <si>
    <t xml:space="preserve">Rendimiento percibido</t>
  </si>
  <si>
    <t xml:space="preserve">Medición con cronómetro</t>
  </si>
  <si>
    <t xml:space="preserve">TC-045</t>
  </si>
  <si>
    <t xml:space="preserve">error_user: flujo completo de compra</t>
  </si>
  <si>
    <t xml:space="preserve">TC-046</t>
  </si>
  <si>
    <t xml:space="preserve">error_user: ordenar productos</t>
  </si>
  <si>
    <t xml:space="preserve">Sesión iniciada con error_user</t>
  </si>
  <si>
    <t xml:space="preserve">1. Probar, una por una, las 4 opciones del menú de orden.</t>
  </si>
  <si>
    <t xml:space="preserve">Las 4 opciones de orden</t>
  </si>
  <si>
    <t xml:space="preserve">Los productos se ordenan sin mensajes de error, igual que con standard_user.</t>
  </si>
  <si>
    <t xml:space="preserve">TC-047</t>
  </si>
  <si>
    <t xml:space="preserve">visual_user: el catálogo se ve igual que con standard_user</t>
  </si>
  <si>
    <t xml:space="preserve">Dos ventanas de incógnito: una con visual_user y otra con standard_user</t>
  </si>
  <si>
    <t xml:space="preserve">1. Poner las dos ventanas lado a lado.
2. Comparar imágenes, íconos, botones, textos y alineación.</t>
  </si>
  <si>
    <t xml:space="preserve">Las dos pantallas se ven iguales.</t>
  </si>
  <si>
    <t xml:space="preserve">TC-048</t>
  </si>
  <si>
    <t xml:space="preserve">visual_user: el precio es el mismo en catálogo, carrito y resumen</t>
  </si>
  <si>
    <t xml:space="preserve">Sesión iniciada con visual_user; carrito vacío</t>
  </si>
  <si>
    <t xml:space="preserve">1. Anotar el precio de Sauce Labs Backpack en el catálogo.
2. Agregarlo y anotar el precio en el carrito.
3. Avanzar hasta "Checkout: Overview" y anotar el precio.</t>
  </si>
  <si>
    <t xml:space="preserve">El precio es igual en las tres pantallas y coincide con el de standard_user ($29.99).</t>
  </si>
  <si>
    <t xml:space="preserve">TC-049</t>
  </si>
  <si>
    <t xml:space="preserve">REQ-17</t>
  </si>
  <si>
    <t xml:space="preserve">Flujo completo de compra en vista móvil</t>
  </si>
  <si>
    <t xml:space="preserve">Chrome con DevTools abierto (F12) en modo celular, dispositivo iPhone 12 Pro</t>
  </si>
  <si>
    <t xml:space="preserve">1. Activar el modo celular y elegir iPhone 12 Pro.
2. Recargar la página.
3. Iniciar sesión.
4. Agregar Sauce Labs Backpack y Sauce Labs Bike Light.
5. Abrir el carrito y hacer clic en "Checkout".
6. Llenar los datos de envío y hacer clic en "Continue".
7. Revisar el resumen y hacer clic en "Finish".</t>
  </si>
  <si>
    <t xml:space="preserve">Todo se lee y se puede tocar sin desplazarse de lado, y la compra termina con "Thank you for your order!".</t>
  </si>
  <si>
    <t xml:space="preserve">Compatibilidad</t>
  </si>
  <si>
    <t xml:space="preserve">TC-050</t>
  </si>
  <si>
    <t xml:space="preserve">Flujo completo de compra en Firefox</t>
  </si>
  <si>
    <t xml:space="preserve">Firefox en ventana privada</t>
  </si>
  <si>
    <t xml:space="preserve">1. Repetir en Firefox los casos TC-001, TC-017, TC-027, TC-033 y TC-035.
2. Comparar con los resultados en Chrome.</t>
  </si>
  <si>
    <t xml:space="preserve">El comportamiento es igual al de Chrome.</t>
  </si>
  <si>
    <t xml:space="preserve">Fuente</t>
  </si>
  <si>
    <t xml:space="preserve">Casos que lo cubren</t>
  </si>
  <si>
    <t xml:space="preserve">N.º de casos</t>
  </si>
  <si>
    <t xml:space="preserve">Casos ejecutados</t>
  </si>
  <si>
    <t xml:space="preserve">Casos fallidos</t>
  </si>
  <si>
    <t xml:space="preserve">Cobertura</t>
  </si>
  <si>
    <t xml:space="preserve">Resultado</t>
  </si>
  <si>
    <t xml:space="preserve">El usuario con credenciales válidas accede al catálogo.</t>
  </si>
  <si>
    <t xml:space="preserve">Observado</t>
  </si>
  <si>
    <t xml:space="preserve">TC-001, TC-011</t>
  </si>
  <si>
    <t xml:space="preserve">El sistema muestra un mensaje claro cuando faltan datos o las credenciales son incorrectas.</t>
  </si>
  <si>
    <t xml:space="preserve">TC-002, TC-003, TC-004, TC-005, TC-006, TC-009</t>
  </si>
  <si>
    <t xml:space="preserve">Un usuario bloqueado no puede ingresar.</t>
  </si>
  <si>
    <t xml:space="preserve">Seguridad básica: la contraseña se oculta, las páginas internas exigen sesión y el logout cierra la sesión.</t>
  </si>
  <si>
    <t xml:space="preserve">Login / Menú</t>
  </si>
  <si>
    <t xml:space="preserve">TC-008, TC-010, TC-037</t>
  </si>
  <si>
    <t xml:space="preserve">El catálogo muestra todos los productos con imagen, nombre, descripción y precio correctos.</t>
  </si>
  <si>
    <t xml:space="preserve">Los productos se pueden ordenar por nombre y por precio, en ambos sentidos.</t>
  </si>
  <si>
    <t xml:space="preserve">TC-013, TC-014, TC-015, TC-016</t>
  </si>
  <si>
    <t xml:space="preserve">El usuario puede agregar y quitar productos, y el contador del carrito se actualiza.</t>
  </si>
  <si>
    <t xml:space="preserve">Catálogo / Detalle / Carrito</t>
  </si>
  <si>
    <t xml:space="preserve">TC-017, TC-018, TC-019, TC-021, TC-023, TC-024, TC-025</t>
  </si>
  <si>
    <t xml:space="preserve">El detalle de producto muestra la misma información que el catálogo y permite volver.</t>
  </si>
  <si>
    <t xml:space="preserve">TC-020, TC-022</t>
  </si>
  <si>
    <t xml:space="preserve">Nombre, apellido y código postal son obligatorios en el checkout.</t>
  </si>
  <si>
    <t xml:space="preserve">TC-027, TC-028, TC-029, TC-030</t>
  </si>
  <si>
    <t xml:space="preserve">Los datos de envío deben tener un formato válido (no solo espacios; código postal válido).</t>
  </si>
  <si>
    <t xml:space="preserve">Inferido</t>
  </si>
  <si>
    <t xml:space="preserve">TC-031, TC-032</t>
  </si>
  <si>
    <t xml:space="preserve">El resumen calcula bien subtotal, impuesto y total.</t>
  </si>
  <si>
    <t xml:space="preserve">No se puede comprar con el carrito vacío.</t>
  </si>
  <si>
    <t xml:space="preserve">El usuario puede cancelar o finalizar la compra; al finalizar se confirma el pedido y el carrito queda vacío.</t>
  </si>
  <si>
    <t xml:space="preserve">TC-034, TC-035, TC-036</t>
  </si>
  <si>
    <t xml:space="preserve">Las opciones del menú lateral hacen lo que indican.</t>
  </si>
  <si>
    <t xml:space="preserve">TC-038, TC-039, TC-040</t>
  </si>
  <si>
    <t xml:space="preserve">Todos los usuarios habilitados obtienen el mismo comportamiento funcional y visual que standard_user.</t>
  </si>
  <si>
    <t xml:space="preserve">Todos</t>
  </si>
  <si>
    <t xml:space="preserve">TC-041, TC-042, TC-043, TC-045, TC-046, TC-047, TC-048</t>
  </si>
  <si>
    <t xml:space="preserve">Las páginas cargan en 3 segundos o menos.</t>
  </si>
  <si>
    <t xml:space="preserve">El flujo de compra funciona en Chrome, en Firefox y en vista móvil.</t>
  </si>
  <si>
    <t xml:space="preserve">TC-049, TC-050</t>
  </si>
  <si>
    <t xml:space="preserve">Fuente: "Observado" = comportamiento de standard_user tomado como correcto. "Inferido" = lo esperado en cualquier tienda en línea; en un equipo real se confirma con el dueño del producto.</t>
  </si>
  <si>
    <t xml:space="preserve">Si agregas un caso nuevo, escribe su ID en "Casos que lo cubren". Los conteos y la cobertura se calculan solos.</t>
  </si>
  <si>
    <t xml:space="preserve">Caso relacionado</t>
  </si>
  <si>
    <t xml:space="preserve">Severidad</t>
  </si>
  <si>
    <t xml:space="preserve">Fecha</t>
  </si>
  <si>
    <t xml:space="preserve">Archivo del reporte</t>
  </si>
  <si>
    <t xml:space="preserve">Archivo de evidencia</t>
  </si>
  <si>
    <t xml:space="preserve">Cómo usar este archivo</t>
  </si>
  <si>
    <t xml:space="preserve">HOJAS</t>
  </si>
  <si>
    <t xml:space="preserve">Resumen</t>
  </si>
  <si>
    <t xml:space="preserve">Métricas que se calculan solas: ejecución, aprobación, cobertura y bugs. No se escribe nada aquí.</t>
  </si>
  <si>
    <t xml:space="preserve">Casos de prueba</t>
  </si>
  <si>
    <t xml:space="preserve">Los 50 casos diseñados. Columnas blancas: el diseño del caso. Columnas amarillas: lo que llenas al ejecutar.</t>
  </si>
  <si>
    <t xml:space="preserve">Requisitos</t>
  </si>
  <si>
    <t xml:space="preserve">Matriz de trazabilidad: qué casos cubren cada requisito y si ya se probó. Se actualiza sola.</t>
  </si>
  <si>
    <t xml:space="preserve">Registro de bugs, uno por fila. Cada bug también tiene su archivo BUG-XXX.md en la carpeta reportes-de-bugs.</t>
  </si>
  <si>
    <t xml:space="preserve">AL EJECUTAR UN CASO</t>
  </si>
  <si>
    <t xml:space="preserve">1. Prepárate</t>
  </si>
  <si>
    <t xml:space="preserve">Abre una ventana de incógnito nueva para cada usuario. La contraseña de todos los usuarios aparece en la página de login de SauceDemo.</t>
  </si>
  <si>
    <t xml:space="preserve">2. Sigue los pasos</t>
  </si>
  <si>
    <t xml:space="preserve">Haz exactamente lo que dicen las columnas "Pasos" y "Datos de prueba".</t>
  </si>
  <si>
    <t xml:space="preserve">3. Compara</t>
  </si>
  <si>
    <t xml:space="preserve">Compara lo que pasó con el "Resultado esperado".</t>
  </si>
  <si>
    <t xml:space="preserve">4. Registra</t>
  </si>
  <si>
    <t xml:space="preserve">Llena las columnas amarillas: Resultado obtenido (qué pasó en realidad), Estado (elige de la lista), Fecha de ejecución y Navegador.</t>
  </si>
  <si>
    <t xml:space="preserve">5. Si falla</t>
  </si>
  <si>
    <t xml:space="preserve">Estado = Fallido. Toma la captura, reproduce el fallo una vez más, registra el bug en la hoja "Bugs", crea su archivo BUG-XXX.md y escribe el ID del bug en la columna "ID Bug" del caso.</t>
  </si>
  <si>
    <t xml:space="preserve">ESTADOS</t>
  </si>
  <si>
    <t xml:space="preserve">Aprobado</t>
  </si>
  <si>
    <t xml:space="preserve">El resultado obtenido es igual al esperado.</t>
  </si>
  <si>
    <t xml:space="preserve">Fallido</t>
  </si>
  <si>
    <t xml:space="preserve">El resultado obtenido es distinto del esperado. Siempre lleva un bug asociado.</t>
  </si>
  <si>
    <t xml:space="preserve">Bloqueado</t>
  </si>
  <si>
    <t xml:space="preserve">No se pudo ejecutar porque otro fallo lo impide. Explica cuál en "Notas".</t>
  </si>
  <si>
    <t xml:space="preserve">Todavía no se ha probado. Es el valor inicial.</t>
  </si>
  <si>
    <t xml:space="preserve">SEVERIDAD DE BUGS</t>
  </si>
  <si>
    <t xml:space="preserve">Bloquea una función principal y no hay forma de evitarlo.</t>
  </si>
  <si>
    <t xml:space="preserve">Una función importante falla o muestra datos incorrectos.</t>
  </si>
  <si>
    <t xml:space="preserve">Falla una función secundaria o un problema de interfaz confunde.</t>
  </si>
  <si>
    <t xml:space="preserve">Problema cosmético que no afecta el uso.</t>
  </si>
  <si>
    <t xml:space="preserve">EJEMPLO DE FILA EN "BUGS"</t>
  </si>
  <si>
    <t xml:space="preserve">(solo muestra el formato; no es un hallazgo real)</t>
  </si>
  <si>
    <t xml:space="preserve">ID: BUG-001 · Título: [Carrito] standard_user: el contador no se actualiza al quitar un producto · Módulo: Carrito · Usuario: standard_user · Caso relacionado: TC-024 · Severidad: Media · Prioridad: Media · Estado: Confirmado · Navegador: Chrome · Fecha: 05/10/2026 · Archivo del reporte: BUG-001.md · Archivo de evidencia: BUG-001_carrito_contador.png</t>
  </si>
  <si>
    <t xml:space="preserve">ACTUALIZAR GITHUB</t>
  </si>
  <si>
    <t xml:space="preserve">Excel</t>
  </si>
  <si>
    <t xml:space="preserve">Sube este archivo con el mismo nombre (Add file › Upload files) y reemplaza al anterior.</t>
  </si>
  <si>
    <t xml:space="preserve">CSV para vista rápida</t>
  </si>
  <si>
    <t xml:space="preserve">En Excel: abre la hoja "Casos de prueba", Archivo › Guardar como › "CSV UTF-8 (delimitado por comas)", nómbralo casos-de-prueba.csv y súbelo. En Google Sheets: Archivo › Descargar › Valores separados por comas (hoja actual).</t>
  </si>
  <si>
    <t xml:space="preserve">COLORES</t>
  </si>
  <si>
    <t xml:space="preserve">Encabezado azul oscuro</t>
  </si>
  <si>
    <t xml:space="preserve">Diseño del caso. Se ajusta en las fases 1 y 2.</t>
  </si>
  <si>
    <t xml:space="preserve">Encabezado dorado y celdas amarillas</t>
  </si>
  <si>
    <t xml:space="preserve">Lo que llenas al ejecutar.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</si>
</sst>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485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4858"/>
        <bgColor rgb="FF555555"/>
      </patternFill>
    </fill>
    <fill>
      <patternFill patternType="solid">
        <fgColor rgb="FFE8EEF2"/>
        <bgColor rgb="FFEEEEEE"/>
      </patternFill>
    </fill>
    <fill>
      <patternFill patternType="solid">
        <fgColor rgb="FFB7791F"/>
        <bgColor rgb="FF9A5B00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1E6B3A"/>
      </font>
      <fill>
        <patternFill>
          <bgColor rgb="FFD9F2E3"/>
        </patternFill>
      </fill>
    </dxf>
    <dxf>
      <font>
        <name val="Arial"/>
        <charset val="1"/>
        <family val="0"/>
        <b val="1"/>
        <color rgb="FF9A5B00"/>
      </font>
      <fill>
        <patternFill>
          <bgColor rgb="FFFDEBD0"/>
        </patternFill>
      </fill>
    </dxf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555555"/>
      </font>
      <fill>
        <patternFill>
          <bgColor rgb="FFEEEEE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9B1C1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9A5B00"/>
      <rgbColor rgb="FF800080"/>
      <rgbColor rgb="FF3B7EA1"/>
      <rgbColor rgb="FFC0C0C0"/>
      <rgbColor rgb="FF808080"/>
      <rgbColor rgb="FF9999FF"/>
      <rgbColor rgb="FFB23A48"/>
      <rgbColor rgb="FFFFF8E1"/>
      <rgbColor rgb="FFE8EEF2"/>
      <rgbColor rgb="FF660066"/>
      <rgbColor rgb="FFFF8080"/>
      <rgbColor rgb="FF0066CC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9F2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B7791F"/>
      <rgbColor rgb="FF555555"/>
      <rgbColor rgb="FF969696"/>
      <rgbColor rgb="FF003366"/>
      <rgbColor rgb="FF5C946E"/>
      <rgbColor rgb="FF003300"/>
      <rgbColor rgb="FF333300"/>
      <rgbColor rgb="FF9B1C1C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858"/>
    <pageSetUpPr fitToPage="true"/>
  </sheetPr>
  <dimension ref="A1:F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6" t="n">
        <f aca="false">COUNTA('Casos de prueba'!$A$2:$A$500)</f>
        <v>50</v>
      </c>
    </row>
    <row r="6" customFormat="false" ht="15" hidden="false" customHeight="false" outlineLevel="0" collapsed="false">
      <c r="A6" s="5" t="s">
        <v>4</v>
      </c>
      <c r="B6" s="6" t="n">
        <f aca="false">COUNTIF('Casos de prueba'!$N$2:$N$500,"Aprobado")</f>
        <v>0</v>
      </c>
    </row>
    <row r="7" customFormat="false" ht="15" hidden="false" customHeight="false" outlineLevel="0" collapsed="false">
      <c r="A7" s="5" t="s">
        <v>5</v>
      </c>
      <c r="B7" s="6" t="n">
        <f aca="false">COUNTIF('Casos de prueba'!$N$2:$N$500,"Fallido")</f>
        <v>0</v>
      </c>
    </row>
    <row r="8" customFormat="false" ht="15" hidden="false" customHeight="false" outlineLevel="0" collapsed="false">
      <c r="A8" s="5" t="s">
        <v>6</v>
      </c>
      <c r="B8" s="6" t="n">
        <f aca="false">COUNTIF('Casos de prueba'!$N$2:$N$500,"Bloqueado")</f>
        <v>0</v>
      </c>
    </row>
    <row r="9" customFormat="false" ht="15" hidden="false" customHeight="false" outlineLevel="0" collapsed="false">
      <c r="A9" s="5" t="s">
        <v>7</v>
      </c>
      <c r="B9" s="6" t="n">
        <f aca="false">COUNTIF('Casos de prueba'!$N$2:$N$500,"No ejecutado")</f>
        <v>50</v>
      </c>
    </row>
    <row r="10" customFormat="false" ht="15" hidden="false" customHeight="false" outlineLevel="0" collapsed="false">
      <c r="A10" s="7" t="s">
        <v>8</v>
      </c>
      <c r="B10" s="8" t="n">
        <f aca="false">IFERROR((B6+B7)/B5,0)</f>
        <v>0</v>
      </c>
    </row>
    <row r="11" customFormat="false" ht="15" hidden="false" customHeight="false" outlineLevel="0" collapsed="false">
      <c r="A11" s="7" t="s">
        <v>9</v>
      </c>
      <c r="B11" s="8" t="n">
        <f aca="false">IFERROR(B6/(B6+B7),0)</f>
        <v>0</v>
      </c>
    </row>
    <row r="13" customFormat="false" ht="19.5" hidden="false" customHeight="true" outlineLevel="0" collapsed="false">
      <c r="A13" s="3" t="s">
        <v>10</v>
      </c>
      <c r="B13" s="4"/>
      <c r="C13" s="9" t="s">
        <v>11</v>
      </c>
      <c r="D13" s="4"/>
      <c r="E13" s="4"/>
      <c r="F13" s="4"/>
    </row>
    <row r="14" customFormat="false" ht="15" hidden="false" customHeight="false" outlineLevel="0" collapsed="false">
      <c r="A14" s="5" t="s">
        <v>12</v>
      </c>
      <c r="B14" s="8" t="n">
        <f aca="false">IFERROR((COUNTIFS('Casos de prueba'!$J$2:$J$500,"Alta",'Casos de prueba'!$N$2:$N$500,"Aprobado")+COUNTIFS('Casos de prueba'!$J$2:$J$500,"Alta",'Casos de prueba'!$N$2:$N$500,"Fallido"))/COUNTIF('Casos de prueba'!$J$2:$J$500,"Alta"),0)</f>
        <v>0</v>
      </c>
      <c r="C14" s="10" t="str">
        <f aca="false">IF(B14&gt;=1,"Cumple","Pendiente")</f>
        <v>Pendiente</v>
      </c>
    </row>
    <row r="15" customFormat="false" ht="15" hidden="false" customHeight="false" outlineLevel="0" collapsed="false">
      <c r="A15" s="5" t="s">
        <v>13</v>
      </c>
      <c r="B15" s="8" t="n">
        <f aca="false">B10</f>
        <v>0</v>
      </c>
      <c r="C15" s="10" t="str">
        <f aca="false">IF(B15&gt;=0.9,"Cumple","Pendiente")</f>
        <v>Pendiente</v>
      </c>
    </row>
    <row r="17" customFormat="false" ht="19.5" hidden="false" customHeight="true" outlineLevel="0" collapsed="false">
      <c r="A17" s="3" t="s">
        <v>14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5" t="s">
        <v>15</v>
      </c>
      <c r="B18" s="6" t="n">
        <f aca="false">COUNTA(Requisitos!$A$2:$A$18)</f>
        <v>17</v>
      </c>
    </row>
    <row r="19" customFormat="false" ht="15" hidden="false" customHeight="false" outlineLevel="0" collapsed="false">
      <c r="A19" s="5" t="s">
        <v>16</v>
      </c>
      <c r="B19" s="6" t="n">
        <f aca="false">COUNTIF(Requisitos!$I$2:$I$18,"Cubierto")</f>
        <v>0</v>
      </c>
    </row>
    <row r="20" customFormat="false" ht="15" hidden="false" customHeight="false" outlineLevel="0" collapsed="false">
      <c r="A20" s="5" t="s">
        <v>17</v>
      </c>
      <c r="B20" s="6" t="n">
        <f aca="false">COUNTIF(Requisitos!$J$2:$J$18,"Con fallas")</f>
        <v>0</v>
      </c>
    </row>
    <row r="21" customFormat="false" ht="15" hidden="false" customHeight="false" outlineLevel="0" collapsed="false">
      <c r="A21" s="7" t="s">
        <v>18</v>
      </c>
      <c r="B21" s="8" t="n">
        <f aca="false">IFERROR(B19/B18,0)</f>
        <v>0</v>
      </c>
    </row>
    <row r="23" customFormat="false" ht="19.5" hidden="false" customHeight="true" outlineLevel="0" collapsed="false">
      <c r="A23" s="3" t="s">
        <v>19</v>
      </c>
      <c r="B23" s="4"/>
      <c r="C23" s="4"/>
      <c r="D23" s="4"/>
      <c r="E23" s="4"/>
      <c r="F23" s="4"/>
    </row>
    <row r="24" customFormat="false" ht="15" hidden="false" customHeight="false" outlineLevel="0" collapsed="false">
      <c r="A24" s="11" t="s">
        <v>20</v>
      </c>
      <c r="B24" s="12" t="s">
        <v>21</v>
      </c>
      <c r="C24" s="12" t="s">
        <v>22</v>
      </c>
      <c r="D24" s="12" t="s">
        <v>4</v>
      </c>
      <c r="E24" s="12" t="s">
        <v>5</v>
      </c>
      <c r="F24" s="12" t="s">
        <v>23</v>
      </c>
    </row>
    <row r="25" customFormat="false" ht="15" hidden="false" customHeight="false" outlineLevel="0" collapsed="false">
      <c r="A25" s="13" t="s">
        <v>24</v>
      </c>
      <c r="B25" s="14" t="n">
        <f aca="false">COUNTIF('Casos de prueba'!$B$2:$B$500,A25)</f>
        <v>12</v>
      </c>
      <c r="C25" s="14" t="n">
        <f aca="false">COUNTIFS('Casos de prueba'!$B$2:$B$500,A25,'Casos de prueba'!$N$2:$N$500,"Aprobado")+COUNTIFS('Casos de prueba'!$B$2:$B$500,A25,'Casos de prueba'!$N$2:$N$500,"Fallido")</f>
        <v>0</v>
      </c>
      <c r="D25" s="14" t="n">
        <f aca="false">COUNTIFS('Casos de prueba'!$B$2:$B$500,A25,'Casos de prueba'!$N$2:$N$500,"Aprobado")</f>
        <v>0</v>
      </c>
      <c r="E25" s="14" t="n">
        <f aca="false">COUNTIFS('Casos de prueba'!$B$2:$B$500,A25,'Casos de prueba'!$N$2:$N$500,"Fallido")</f>
        <v>0</v>
      </c>
      <c r="F25" s="14" t="n">
        <f aca="false">COUNTIF(Bugs!$C$2:$C$61,A25)</f>
        <v>0</v>
      </c>
    </row>
    <row r="26" customFormat="false" ht="15" hidden="false" customHeight="false" outlineLevel="0" collapsed="false">
      <c r="A26" s="13" t="s">
        <v>25</v>
      </c>
      <c r="B26" s="14" t="n">
        <f aca="false">COUNTIF('Casos de prueba'!$B$2:$B$500,A26)</f>
        <v>12</v>
      </c>
      <c r="C26" s="14" t="n">
        <f aca="false">COUNTIFS('Casos de prueba'!$B$2:$B$500,A26,'Casos de prueba'!$N$2:$N$500,"Aprobado")+COUNTIFS('Casos de prueba'!$B$2:$B$500,A26,'Casos de prueba'!$N$2:$N$500,"Fallido")</f>
        <v>0</v>
      </c>
      <c r="D26" s="14" t="n">
        <f aca="false">COUNTIFS('Casos de prueba'!$B$2:$B$500,A26,'Casos de prueba'!$N$2:$N$500,"Aprobado")</f>
        <v>0</v>
      </c>
      <c r="E26" s="14" t="n">
        <f aca="false">COUNTIFS('Casos de prueba'!$B$2:$B$500,A26,'Casos de prueba'!$N$2:$N$500,"Fallido")</f>
        <v>0</v>
      </c>
      <c r="F26" s="14" t="n">
        <f aca="false">COUNTIF(Bugs!$C$2:$C$61,A26)</f>
        <v>0</v>
      </c>
    </row>
    <row r="27" customFormat="false" ht="15" hidden="false" customHeight="false" outlineLevel="0" collapsed="false">
      <c r="A27" s="13" t="s">
        <v>26</v>
      </c>
      <c r="B27" s="14" t="n">
        <f aca="false">COUNTIF('Casos de prueba'!$B$2:$B$500,A27)</f>
        <v>3</v>
      </c>
      <c r="C27" s="14" t="n">
        <f aca="false">COUNTIFS('Casos de prueba'!$B$2:$B$500,A27,'Casos de prueba'!$N$2:$N$500,"Aprobado")+COUNTIFS('Casos de prueba'!$B$2:$B$500,A27,'Casos de prueba'!$N$2:$N$500,"Fallido")</f>
        <v>0</v>
      </c>
      <c r="D27" s="14" t="n">
        <f aca="false">COUNTIFS('Casos de prueba'!$B$2:$B$500,A27,'Casos de prueba'!$N$2:$N$500,"Aprobado")</f>
        <v>0</v>
      </c>
      <c r="E27" s="14" t="n">
        <f aca="false">COUNTIFS('Casos de prueba'!$B$2:$B$500,A27,'Casos de prueba'!$N$2:$N$500,"Fallido")</f>
        <v>0</v>
      </c>
      <c r="F27" s="14" t="n">
        <f aca="false">COUNTIF(Bugs!$C$2:$C$61,A27)</f>
        <v>0</v>
      </c>
    </row>
    <row r="28" customFormat="false" ht="15" hidden="false" customHeight="false" outlineLevel="0" collapsed="false">
      <c r="A28" s="13" t="s">
        <v>27</v>
      </c>
      <c r="B28" s="14" t="n">
        <f aca="false">COUNTIF('Casos de prueba'!$B$2:$B$500,A28)</f>
        <v>3</v>
      </c>
      <c r="C28" s="14" t="n">
        <f aca="false">COUNTIFS('Casos de prueba'!$B$2:$B$500,A28,'Casos de prueba'!$N$2:$N$500,"Aprobado")+COUNTIFS('Casos de prueba'!$B$2:$B$500,A28,'Casos de prueba'!$N$2:$N$500,"Fallido")</f>
        <v>0</v>
      </c>
      <c r="D28" s="14" t="n">
        <f aca="false">COUNTIFS('Casos de prueba'!$B$2:$B$500,A28,'Casos de prueba'!$N$2:$N$500,"Aprobado")</f>
        <v>0</v>
      </c>
      <c r="E28" s="14" t="n">
        <f aca="false">COUNTIFS('Casos de prueba'!$B$2:$B$500,A28,'Casos de prueba'!$N$2:$N$500,"Fallido")</f>
        <v>0</v>
      </c>
      <c r="F28" s="14" t="n">
        <f aca="false">COUNTIF(Bugs!$C$2:$C$61,A28)</f>
        <v>0</v>
      </c>
    </row>
    <row r="29" customFormat="false" ht="15" hidden="false" customHeight="false" outlineLevel="0" collapsed="false">
      <c r="A29" s="13" t="s">
        <v>28</v>
      </c>
      <c r="B29" s="14" t="n">
        <f aca="false">COUNTIF('Casos de prueba'!$B$2:$B$500,A29)</f>
        <v>11</v>
      </c>
      <c r="C29" s="14" t="n">
        <f aca="false">COUNTIFS('Casos de prueba'!$B$2:$B$500,A29,'Casos de prueba'!$N$2:$N$500,"Aprobado")+COUNTIFS('Casos de prueba'!$B$2:$B$500,A29,'Casos de prueba'!$N$2:$N$500,"Fallido")</f>
        <v>0</v>
      </c>
      <c r="D29" s="14" t="n">
        <f aca="false">COUNTIFS('Casos de prueba'!$B$2:$B$500,A29,'Casos de prueba'!$N$2:$N$500,"Aprobado")</f>
        <v>0</v>
      </c>
      <c r="E29" s="14" t="n">
        <f aca="false">COUNTIFS('Casos de prueba'!$B$2:$B$500,A29,'Casos de prueba'!$N$2:$N$500,"Fallido")</f>
        <v>0</v>
      </c>
      <c r="F29" s="14" t="n">
        <f aca="false">COUNTIF(Bugs!$C$2:$C$61,A29)</f>
        <v>0</v>
      </c>
    </row>
    <row r="30" customFormat="false" ht="15" hidden="false" customHeight="false" outlineLevel="0" collapsed="false">
      <c r="A30" s="13" t="s">
        <v>29</v>
      </c>
      <c r="B30" s="14" t="n">
        <f aca="false">COUNTIF('Casos de prueba'!$B$2:$B$500,A30)</f>
        <v>4</v>
      </c>
      <c r="C30" s="14" t="n">
        <f aca="false">COUNTIFS('Casos de prueba'!$B$2:$B$500,A30,'Casos de prueba'!$N$2:$N$500,"Aprobado")+COUNTIFS('Casos de prueba'!$B$2:$B$500,A30,'Casos de prueba'!$N$2:$N$500,"Fallido")</f>
        <v>0</v>
      </c>
      <c r="D30" s="14" t="n">
        <f aca="false">COUNTIFS('Casos de prueba'!$B$2:$B$500,A30,'Casos de prueba'!$N$2:$N$500,"Aprobado")</f>
        <v>0</v>
      </c>
      <c r="E30" s="14" t="n">
        <f aca="false">COUNTIFS('Casos de prueba'!$B$2:$B$500,A30,'Casos de prueba'!$N$2:$N$500,"Fallido")</f>
        <v>0</v>
      </c>
      <c r="F30" s="14" t="n">
        <f aca="false">COUNTIF(Bugs!$C$2:$C$61,A30)</f>
        <v>0</v>
      </c>
    </row>
    <row r="31" customFormat="false" ht="15" hidden="false" customHeight="false" outlineLevel="0" collapsed="false">
      <c r="A31" s="13" t="s">
        <v>30</v>
      </c>
      <c r="B31" s="14" t="n">
        <f aca="false">COUNTIF('Casos de prueba'!$B$2:$B$500,A31)</f>
        <v>5</v>
      </c>
      <c r="C31" s="14" t="n">
        <f aca="false">COUNTIFS('Casos de prueba'!$B$2:$B$500,A31,'Casos de prueba'!$N$2:$N$500,"Aprobado")+COUNTIFS('Casos de prueba'!$B$2:$B$500,A31,'Casos de prueba'!$N$2:$N$500,"Fallido")</f>
        <v>0</v>
      </c>
      <c r="D31" s="14" t="n">
        <f aca="false">COUNTIFS('Casos de prueba'!$B$2:$B$500,A31,'Casos de prueba'!$N$2:$N$500,"Aprobado")</f>
        <v>0</v>
      </c>
      <c r="E31" s="14" t="n">
        <f aca="false">COUNTIFS('Casos de prueba'!$B$2:$B$500,A31,'Casos de prueba'!$N$2:$N$500,"Fallido")</f>
        <v>0</v>
      </c>
      <c r="F31" s="14" t="n">
        <f aca="false">COUNTIF(Bugs!$C$2:$C$61,A31)</f>
        <v>0</v>
      </c>
    </row>
    <row r="32" customFormat="false" ht="15" hidden="false" customHeight="false" outlineLevel="0" collapsed="false">
      <c r="A32" s="7" t="s">
        <v>31</v>
      </c>
      <c r="B32" s="6" t="n">
        <f aca="false">SUM(B25:B31)</f>
        <v>50</v>
      </c>
      <c r="C32" s="6" t="n">
        <f aca="false">SUM(C25:C31)</f>
        <v>0</v>
      </c>
      <c r="D32" s="6" t="n">
        <f aca="false">SUM(D25:D31)</f>
        <v>0</v>
      </c>
      <c r="E32" s="6" t="n">
        <f aca="false">SUM(E25:E31)</f>
        <v>0</v>
      </c>
      <c r="F32" s="6" t="n">
        <f aca="false">SUM(F25:F31)</f>
        <v>0</v>
      </c>
    </row>
    <row r="34" customFormat="false" ht="19.5" hidden="false" customHeight="true" outlineLevel="0" collapsed="false">
      <c r="A34" s="3" t="s">
        <v>32</v>
      </c>
      <c r="B34" s="4"/>
      <c r="C34" s="4"/>
      <c r="D34" s="4"/>
      <c r="E34" s="4"/>
      <c r="F34" s="4"/>
    </row>
    <row r="35" customFormat="false" ht="15" hidden="false" customHeight="false" outlineLevel="0" collapsed="false">
      <c r="A35" s="5" t="s">
        <v>33</v>
      </c>
      <c r="B35" s="6" t="n">
        <f aca="false">COUNTIF(Bugs!$F$2:$F$61,"Crítica")</f>
        <v>0</v>
      </c>
    </row>
    <row r="36" customFormat="false" ht="15" hidden="false" customHeight="false" outlineLevel="0" collapsed="false">
      <c r="A36" s="5" t="s">
        <v>34</v>
      </c>
      <c r="B36" s="6" t="n">
        <f aca="false">COUNTIF(Bugs!$F$2:$F$61,"Alta")</f>
        <v>0</v>
      </c>
    </row>
    <row r="37" customFormat="false" ht="15" hidden="false" customHeight="false" outlineLevel="0" collapsed="false">
      <c r="A37" s="5" t="s">
        <v>35</v>
      </c>
      <c r="B37" s="6" t="n">
        <f aca="false">COUNTIF(Bugs!$F$2:$F$61,"Media")</f>
        <v>0</v>
      </c>
    </row>
    <row r="38" customFormat="false" ht="15" hidden="false" customHeight="false" outlineLevel="0" collapsed="false">
      <c r="A38" s="5" t="s">
        <v>36</v>
      </c>
      <c r="B38" s="6" t="n">
        <f aca="false">COUNTIF(Bugs!$F$2:$F$61,"Baja")</f>
        <v>0</v>
      </c>
    </row>
    <row r="39" customFormat="false" ht="15" hidden="false" customHeight="false" outlineLevel="0" collapsed="false">
      <c r="A39" s="7" t="s">
        <v>37</v>
      </c>
      <c r="B39" s="6" t="n">
        <f aca="false">COUNTA(Bugs!$B$2:$B$61)</f>
        <v>0</v>
      </c>
    </row>
    <row r="40" customFormat="false" ht="15" hidden="false" customHeight="false" outlineLevel="0" collapsed="false">
      <c r="A40" s="5" t="s">
        <v>38</v>
      </c>
      <c r="B40" s="6" t="n">
        <f aca="false">COUNTIF(Bugs!$H$2:$H$61,"Confirmado")</f>
        <v>0</v>
      </c>
    </row>
    <row r="42" customFormat="false" ht="19.5" hidden="false" customHeight="true" outlineLevel="0" collapsed="false">
      <c r="A42" s="3" t="s">
        <v>39</v>
      </c>
      <c r="B42" s="4"/>
      <c r="C42" s="4"/>
      <c r="D42" s="4"/>
      <c r="E42" s="4"/>
      <c r="F42" s="4"/>
    </row>
    <row r="43" customFormat="false" ht="15" hidden="false" customHeight="false" outlineLevel="0" collapsed="false">
      <c r="A43" s="5" t="s">
        <v>40</v>
      </c>
      <c r="B43" s="6" t="n">
        <f aca="false">COUNTIF(Bugs!$D$2:$D$61,A43)</f>
        <v>0</v>
      </c>
    </row>
    <row r="44" customFormat="false" ht="15" hidden="false" customHeight="false" outlineLevel="0" collapsed="false">
      <c r="A44" s="5" t="s">
        <v>41</v>
      </c>
      <c r="B44" s="6" t="n">
        <f aca="false">COUNTIF(Bugs!$D$2:$D$61,A44)</f>
        <v>0</v>
      </c>
    </row>
    <row r="45" customFormat="false" ht="15" hidden="false" customHeight="false" outlineLevel="0" collapsed="false">
      <c r="A45" s="5" t="s">
        <v>42</v>
      </c>
      <c r="B45" s="6" t="n">
        <f aca="false">COUNTIF(Bugs!$D$2:$D$61,A45)</f>
        <v>0</v>
      </c>
    </row>
    <row r="46" customFormat="false" ht="15" hidden="false" customHeight="false" outlineLevel="0" collapsed="false">
      <c r="A46" s="5" t="s">
        <v>43</v>
      </c>
      <c r="B46" s="6" t="n">
        <f aca="false">COUNTIF(Bugs!$D$2:$D$61,A46)</f>
        <v>0</v>
      </c>
    </row>
    <row r="47" customFormat="false" ht="15" hidden="false" customHeight="false" outlineLevel="0" collapsed="false">
      <c r="A47" s="5" t="s">
        <v>44</v>
      </c>
      <c r="B47" s="6" t="n">
        <f aca="false">COUNTIF(Bugs!$D$2:$D$61,A47)</f>
        <v>0</v>
      </c>
    </row>
    <row r="48" customFormat="false" ht="15" hidden="false" customHeight="false" outlineLevel="0" collapsed="false">
      <c r="A48" s="5" t="s">
        <v>45</v>
      </c>
      <c r="B48" s="6" t="n">
        <f aca="false">COUNTIF(Bugs!$D$2:$D$61,A48)</f>
        <v>0</v>
      </c>
    </row>
    <row r="50" customFormat="false" ht="15" hidden="false" customHeight="false" outlineLevel="0" collapsed="false">
      <c r="A50" s="2" t="s">
        <v>46</v>
      </c>
    </row>
  </sheetData>
  <conditionalFormatting sqref="C14:C15">
    <cfRule type="expression" priority="2" aboveAverage="0" equalAverage="0" bottom="0" percent="0" rank="0" text="" dxfId="0">
      <formula>$C14="Cumple"</formula>
    </cfRule>
    <cfRule type="expression" priority="3" aboveAverage="0" equalAverage="0" bottom="0" percent="0" rank="0" text="" dxfId="1">
      <formula>$C14="Pendiente"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EA1"/>
    <pageSetUpPr fitToPage="true"/>
  </sheetPr>
  <dimension ref="A1:R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46"/>
    <col collapsed="false" customWidth="true" hidden="false" outlineLevel="0" max="8" min="8" style="0" width="30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28"/>
  </cols>
  <sheetData>
    <row r="1" customFormat="false" ht="31.5" hidden="false" customHeight="true" outlineLevel="0" collapsed="false">
      <c r="A1" s="15" t="s">
        <v>47</v>
      </c>
      <c r="B1" s="15" t="s">
        <v>20</v>
      </c>
      <c r="C1" s="15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53</v>
      </c>
      <c r="I1" s="15" t="s">
        <v>54</v>
      </c>
      <c r="J1" s="15" t="s">
        <v>55</v>
      </c>
      <c r="K1" s="15" t="s">
        <v>56</v>
      </c>
      <c r="L1" s="15" t="s">
        <v>57</v>
      </c>
      <c r="M1" s="16" t="s">
        <v>58</v>
      </c>
      <c r="N1" s="16" t="s">
        <v>11</v>
      </c>
      <c r="O1" s="16" t="s">
        <v>59</v>
      </c>
      <c r="P1" s="16" t="s">
        <v>60</v>
      </c>
      <c r="Q1" s="16" t="s">
        <v>61</v>
      </c>
      <c r="R1" s="16" t="s">
        <v>62</v>
      </c>
    </row>
    <row r="2" customFormat="false" ht="44.25" hidden="false" customHeight="true" outlineLevel="0" collapsed="false">
      <c r="A2" s="17" t="s">
        <v>63</v>
      </c>
      <c r="B2" s="18" t="s">
        <v>24</v>
      </c>
      <c r="C2" s="19" t="s">
        <v>64</v>
      </c>
      <c r="D2" s="18" t="s">
        <v>65</v>
      </c>
      <c r="E2" s="18" t="s">
        <v>40</v>
      </c>
      <c r="F2" s="18" t="s">
        <v>66</v>
      </c>
      <c r="G2" s="18" t="s">
        <v>67</v>
      </c>
      <c r="H2" s="18" t="s">
        <v>68</v>
      </c>
      <c r="I2" s="18" t="s">
        <v>69</v>
      </c>
      <c r="J2" s="19" t="s">
        <v>34</v>
      </c>
      <c r="K2" s="18" t="s">
        <v>70</v>
      </c>
      <c r="L2" s="18" t="s">
        <v>71</v>
      </c>
      <c r="M2" s="20"/>
      <c r="N2" s="21" t="s">
        <v>72</v>
      </c>
      <c r="O2" s="21"/>
      <c r="P2" s="21"/>
      <c r="Q2" s="20"/>
      <c r="R2" s="20"/>
    </row>
    <row r="3" customFormat="false" ht="44.25" hidden="false" customHeight="true" outlineLevel="0" collapsed="false">
      <c r="A3" s="17" t="s">
        <v>73</v>
      </c>
      <c r="B3" s="18" t="s">
        <v>24</v>
      </c>
      <c r="C3" s="19" t="s">
        <v>74</v>
      </c>
      <c r="D3" s="18" t="s">
        <v>75</v>
      </c>
      <c r="E3" s="18" t="s">
        <v>40</v>
      </c>
      <c r="F3" s="18" t="s">
        <v>66</v>
      </c>
      <c r="G3" s="18" t="s">
        <v>76</v>
      </c>
      <c r="H3" s="18" t="s">
        <v>77</v>
      </c>
      <c r="I3" s="18" t="s">
        <v>78</v>
      </c>
      <c r="J3" s="19" t="s">
        <v>34</v>
      </c>
      <c r="K3" s="18" t="s">
        <v>79</v>
      </c>
      <c r="L3" s="18" t="s">
        <v>80</v>
      </c>
      <c r="M3" s="20"/>
      <c r="N3" s="21" t="s">
        <v>72</v>
      </c>
      <c r="O3" s="21"/>
      <c r="P3" s="21"/>
      <c r="Q3" s="20"/>
      <c r="R3" s="20"/>
    </row>
    <row r="4" customFormat="false" ht="44.25" hidden="false" customHeight="true" outlineLevel="0" collapsed="false">
      <c r="A4" s="17" t="s">
        <v>81</v>
      </c>
      <c r="B4" s="18" t="s">
        <v>24</v>
      </c>
      <c r="C4" s="19" t="s">
        <v>74</v>
      </c>
      <c r="D4" s="18" t="s">
        <v>82</v>
      </c>
      <c r="E4" s="18" t="s">
        <v>83</v>
      </c>
      <c r="F4" s="18" t="s">
        <v>66</v>
      </c>
      <c r="G4" s="18" t="s">
        <v>84</v>
      </c>
      <c r="H4" s="18" t="s">
        <v>85</v>
      </c>
      <c r="I4" s="18" t="s">
        <v>78</v>
      </c>
      <c r="J4" s="19" t="s">
        <v>35</v>
      </c>
      <c r="K4" s="18" t="s">
        <v>79</v>
      </c>
      <c r="L4" s="18" t="s">
        <v>80</v>
      </c>
      <c r="M4" s="20"/>
      <c r="N4" s="21" t="s">
        <v>72</v>
      </c>
      <c r="O4" s="21"/>
      <c r="P4" s="21"/>
      <c r="Q4" s="20"/>
      <c r="R4" s="20"/>
    </row>
    <row r="5" customFormat="false" ht="44.25" hidden="false" customHeight="true" outlineLevel="0" collapsed="false">
      <c r="A5" s="17" t="s">
        <v>86</v>
      </c>
      <c r="B5" s="18" t="s">
        <v>24</v>
      </c>
      <c r="C5" s="19" t="s">
        <v>74</v>
      </c>
      <c r="D5" s="18" t="s">
        <v>87</v>
      </c>
      <c r="E5" s="18" t="s">
        <v>88</v>
      </c>
      <c r="F5" s="18" t="s">
        <v>66</v>
      </c>
      <c r="G5" s="18" t="s">
        <v>89</v>
      </c>
      <c r="H5" s="18" t="s">
        <v>90</v>
      </c>
      <c r="I5" s="18" t="s">
        <v>91</v>
      </c>
      <c r="J5" s="19" t="s">
        <v>34</v>
      </c>
      <c r="K5" s="18" t="s">
        <v>79</v>
      </c>
      <c r="L5" s="18" t="s">
        <v>92</v>
      </c>
      <c r="M5" s="20"/>
      <c r="N5" s="21" t="s">
        <v>72</v>
      </c>
      <c r="O5" s="21"/>
      <c r="P5" s="21"/>
      <c r="Q5" s="20"/>
      <c r="R5" s="20"/>
    </row>
    <row r="6" customFormat="false" ht="44.25" hidden="false" customHeight="true" outlineLevel="0" collapsed="false">
      <c r="A6" s="17" t="s">
        <v>93</v>
      </c>
      <c r="B6" s="18" t="s">
        <v>24</v>
      </c>
      <c r="C6" s="19" t="s">
        <v>74</v>
      </c>
      <c r="D6" s="18" t="s">
        <v>94</v>
      </c>
      <c r="E6" s="18" t="s">
        <v>40</v>
      </c>
      <c r="F6" s="18" t="s">
        <v>66</v>
      </c>
      <c r="G6" s="18" t="s">
        <v>95</v>
      </c>
      <c r="H6" s="18" t="s">
        <v>96</v>
      </c>
      <c r="I6" s="18" t="s">
        <v>97</v>
      </c>
      <c r="J6" s="19" t="s">
        <v>34</v>
      </c>
      <c r="K6" s="18" t="s">
        <v>79</v>
      </c>
      <c r="L6" s="18" t="s">
        <v>92</v>
      </c>
      <c r="M6" s="20"/>
      <c r="N6" s="21" t="s">
        <v>72</v>
      </c>
      <c r="O6" s="21"/>
      <c r="P6" s="21"/>
      <c r="Q6" s="20"/>
      <c r="R6" s="20"/>
    </row>
    <row r="7" customFormat="false" ht="30.75" hidden="false" customHeight="true" outlineLevel="0" collapsed="false">
      <c r="A7" s="17" t="s">
        <v>98</v>
      </c>
      <c r="B7" s="18" t="s">
        <v>24</v>
      </c>
      <c r="C7" s="19" t="s">
        <v>74</v>
      </c>
      <c r="D7" s="18" t="s">
        <v>99</v>
      </c>
      <c r="E7" s="18" t="s">
        <v>88</v>
      </c>
      <c r="F7" s="18" t="s">
        <v>66</v>
      </c>
      <c r="G7" s="18" t="s">
        <v>100</v>
      </c>
      <c r="H7" s="18" t="s">
        <v>101</v>
      </c>
      <c r="I7" s="18" t="s">
        <v>91</v>
      </c>
      <c r="J7" s="19" t="s">
        <v>35</v>
      </c>
      <c r="K7" s="18" t="s">
        <v>79</v>
      </c>
      <c r="L7" s="18" t="s">
        <v>92</v>
      </c>
      <c r="M7" s="20"/>
      <c r="N7" s="21" t="s">
        <v>72</v>
      </c>
      <c r="O7" s="21"/>
      <c r="P7" s="21"/>
      <c r="Q7" s="20"/>
      <c r="R7" s="20"/>
    </row>
    <row r="8" customFormat="false" ht="44.25" hidden="false" customHeight="true" outlineLevel="0" collapsed="false">
      <c r="A8" s="17" t="s">
        <v>102</v>
      </c>
      <c r="B8" s="18" t="s">
        <v>24</v>
      </c>
      <c r="C8" s="19" t="s">
        <v>103</v>
      </c>
      <c r="D8" s="18" t="s">
        <v>104</v>
      </c>
      <c r="E8" s="18" t="s">
        <v>41</v>
      </c>
      <c r="F8" s="18" t="s">
        <v>66</v>
      </c>
      <c r="G8" s="18" t="s">
        <v>105</v>
      </c>
      <c r="H8" s="18" t="s">
        <v>106</v>
      </c>
      <c r="I8" s="18" t="s">
        <v>107</v>
      </c>
      <c r="J8" s="19" t="s">
        <v>34</v>
      </c>
      <c r="K8" s="18" t="s">
        <v>79</v>
      </c>
      <c r="L8" s="18" t="s">
        <v>108</v>
      </c>
      <c r="M8" s="20"/>
      <c r="N8" s="21" t="s">
        <v>72</v>
      </c>
      <c r="O8" s="21"/>
      <c r="P8" s="21"/>
      <c r="Q8" s="20"/>
      <c r="R8" s="20"/>
    </row>
    <row r="9" customFormat="false" ht="44.25" hidden="false" customHeight="true" outlineLevel="0" collapsed="false">
      <c r="A9" s="17" t="s">
        <v>109</v>
      </c>
      <c r="B9" s="18" t="s">
        <v>24</v>
      </c>
      <c r="C9" s="19" t="s">
        <v>110</v>
      </c>
      <c r="D9" s="18" t="s">
        <v>111</v>
      </c>
      <c r="E9" s="18" t="s">
        <v>112</v>
      </c>
      <c r="F9" s="18" t="s">
        <v>66</v>
      </c>
      <c r="G9" s="18" t="s">
        <v>113</v>
      </c>
      <c r="H9" s="18" t="s">
        <v>114</v>
      </c>
      <c r="I9" s="18" t="s">
        <v>115</v>
      </c>
      <c r="J9" s="19" t="s">
        <v>35</v>
      </c>
      <c r="K9" s="18" t="s">
        <v>116</v>
      </c>
      <c r="L9" s="18" t="s">
        <v>117</v>
      </c>
      <c r="M9" s="20"/>
      <c r="N9" s="21" t="s">
        <v>72</v>
      </c>
      <c r="O9" s="21"/>
      <c r="P9" s="21"/>
      <c r="Q9" s="20"/>
      <c r="R9" s="20"/>
    </row>
    <row r="10" customFormat="false" ht="30.75" hidden="false" customHeight="true" outlineLevel="0" collapsed="false">
      <c r="A10" s="17" t="s">
        <v>118</v>
      </c>
      <c r="B10" s="18" t="s">
        <v>24</v>
      </c>
      <c r="C10" s="19" t="s">
        <v>74</v>
      </c>
      <c r="D10" s="18" t="s">
        <v>119</v>
      </c>
      <c r="E10" s="18" t="s">
        <v>88</v>
      </c>
      <c r="F10" s="18" t="s">
        <v>120</v>
      </c>
      <c r="G10" s="18" t="s">
        <v>121</v>
      </c>
      <c r="H10" s="18" t="s">
        <v>112</v>
      </c>
      <c r="I10" s="18" t="s">
        <v>122</v>
      </c>
      <c r="J10" s="19" t="s">
        <v>36</v>
      </c>
      <c r="K10" s="18" t="s">
        <v>123</v>
      </c>
      <c r="L10" s="18" t="s">
        <v>124</v>
      </c>
      <c r="M10" s="20"/>
      <c r="N10" s="21" t="s">
        <v>72</v>
      </c>
      <c r="O10" s="21"/>
      <c r="P10" s="21"/>
      <c r="Q10" s="20"/>
      <c r="R10" s="20"/>
    </row>
    <row r="11" customFormat="false" ht="57.75" hidden="false" customHeight="true" outlineLevel="0" collapsed="false">
      <c r="A11" s="17" t="s">
        <v>125</v>
      </c>
      <c r="B11" s="18" t="s">
        <v>24</v>
      </c>
      <c r="C11" s="19" t="s">
        <v>110</v>
      </c>
      <c r="D11" s="18" t="s">
        <v>126</v>
      </c>
      <c r="E11" s="18" t="s">
        <v>112</v>
      </c>
      <c r="F11" s="18" t="s">
        <v>127</v>
      </c>
      <c r="G11" s="18" t="s">
        <v>128</v>
      </c>
      <c r="H11" s="18" t="s">
        <v>129</v>
      </c>
      <c r="I11" s="18" t="s">
        <v>130</v>
      </c>
      <c r="J11" s="19" t="s">
        <v>34</v>
      </c>
      <c r="K11" s="18" t="s">
        <v>131</v>
      </c>
      <c r="L11" s="18" t="s">
        <v>132</v>
      </c>
      <c r="M11" s="20"/>
      <c r="N11" s="21" t="s">
        <v>72</v>
      </c>
      <c r="O11" s="21"/>
      <c r="P11" s="21"/>
      <c r="Q11" s="20"/>
      <c r="R11" s="20"/>
    </row>
    <row r="12" customFormat="false" ht="44.25" hidden="false" customHeight="true" outlineLevel="0" collapsed="false">
      <c r="A12" s="17" t="s">
        <v>133</v>
      </c>
      <c r="B12" s="18" t="s">
        <v>24</v>
      </c>
      <c r="C12" s="19" t="s">
        <v>64</v>
      </c>
      <c r="D12" s="18" t="s">
        <v>134</v>
      </c>
      <c r="E12" s="18" t="s">
        <v>40</v>
      </c>
      <c r="F12" s="18" t="s">
        <v>66</v>
      </c>
      <c r="G12" s="18" t="s">
        <v>135</v>
      </c>
      <c r="H12" s="18" t="s">
        <v>68</v>
      </c>
      <c r="I12" s="18" t="s">
        <v>136</v>
      </c>
      <c r="J12" s="19" t="s">
        <v>36</v>
      </c>
      <c r="K12" s="18" t="s">
        <v>137</v>
      </c>
      <c r="L12" s="18" t="s">
        <v>138</v>
      </c>
      <c r="M12" s="20"/>
      <c r="N12" s="21" t="s">
        <v>72</v>
      </c>
      <c r="O12" s="21"/>
      <c r="P12" s="21"/>
      <c r="Q12" s="20"/>
      <c r="R12" s="20"/>
    </row>
    <row r="13" customFormat="false" ht="111.75" hidden="false" customHeight="true" outlineLevel="0" collapsed="false">
      <c r="A13" s="17" t="s">
        <v>139</v>
      </c>
      <c r="B13" s="18" t="s">
        <v>25</v>
      </c>
      <c r="C13" s="19" t="s">
        <v>140</v>
      </c>
      <c r="D13" s="18" t="s">
        <v>141</v>
      </c>
      <c r="E13" s="18" t="s">
        <v>40</v>
      </c>
      <c r="F13" s="18" t="s">
        <v>142</v>
      </c>
      <c r="G13" s="18" t="s">
        <v>143</v>
      </c>
      <c r="H13" s="18" t="s">
        <v>144</v>
      </c>
      <c r="I13" s="18" t="s">
        <v>145</v>
      </c>
      <c r="J13" s="19" t="s">
        <v>34</v>
      </c>
      <c r="K13" s="18" t="s">
        <v>146</v>
      </c>
      <c r="L13" s="18" t="s">
        <v>147</v>
      </c>
      <c r="M13" s="20"/>
      <c r="N13" s="21" t="s">
        <v>72</v>
      </c>
      <c r="O13" s="21"/>
      <c r="P13" s="21"/>
      <c r="Q13" s="20"/>
      <c r="R13" s="20"/>
    </row>
    <row r="14" customFormat="false" ht="44.25" hidden="false" customHeight="true" outlineLevel="0" collapsed="false">
      <c r="A14" s="17" t="s">
        <v>148</v>
      </c>
      <c r="B14" s="18" t="s">
        <v>25</v>
      </c>
      <c r="C14" s="19" t="s">
        <v>149</v>
      </c>
      <c r="D14" s="18" t="s">
        <v>150</v>
      </c>
      <c r="E14" s="18" t="s">
        <v>40</v>
      </c>
      <c r="F14" s="18" t="s">
        <v>142</v>
      </c>
      <c r="G14" s="18" t="s">
        <v>151</v>
      </c>
      <c r="H14" s="18" t="s">
        <v>112</v>
      </c>
      <c r="I14" s="18" t="s">
        <v>152</v>
      </c>
      <c r="J14" s="19" t="s">
        <v>35</v>
      </c>
      <c r="K14" s="18" t="s">
        <v>70</v>
      </c>
      <c r="L14" s="18" t="s">
        <v>138</v>
      </c>
      <c r="M14" s="20"/>
      <c r="N14" s="21" t="s">
        <v>72</v>
      </c>
      <c r="O14" s="21"/>
      <c r="P14" s="21"/>
      <c r="Q14" s="20"/>
      <c r="R14" s="20"/>
    </row>
    <row r="15" customFormat="false" ht="44.25" hidden="false" customHeight="true" outlineLevel="0" collapsed="false">
      <c r="A15" s="17" t="s">
        <v>153</v>
      </c>
      <c r="B15" s="18" t="s">
        <v>25</v>
      </c>
      <c r="C15" s="19" t="s">
        <v>149</v>
      </c>
      <c r="D15" s="18" t="s">
        <v>154</v>
      </c>
      <c r="E15" s="18" t="s">
        <v>40</v>
      </c>
      <c r="F15" s="18" t="s">
        <v>142</v>
      </c>
      <c r="G15" s="18" t="s">
        <v>155</v>
      </c>
      <c r="H15" s="18" t="s">
        <v>156</v>
      </c>
      <c r="I15" s="18" t="s">
        <v>157</v>
      </c>
      <c r="J15" s="19" t="s">
        <v>35</v>
      </c>
      <c r="K15" s="18" t="s">
        <v>70</v>
      </c>
      <c r="L15" s="18" t="s">
        <v>158</v>
      </c>
      <c r="M15" s="20"/>
      <c r="N15" s="21" t="s">
        <v>72</v>
      </c>
      <c r="O15" s="21"/>
      <c r="P15" s="21"/>
      <c r="Q15" s="20"/>
      <c r="R15" s="20"/>
    </row>
    <row r="16" customFormat="false" ht="44.25" hidden="false" customHeight="true" outlineLevel="0" collapsed="false">
      <c r="A16" s="17" t="s">
        <v>159</v>
      </c>
      <c r="B16" s="18" t="s">
        <v>25</v>
      </c>
      <c r="C16" s="19" t="s">
        <v>149</v>
      </c>
      <c r="D16" s="18" t="s">
        <v>160</v>
      </c>
      <c r="E16" s="18" t="s">
        <v>40</v>
      </c>
      <c r="F16" s="18" t="s">
        <v>142</v>
      </c>
      <c r="G16" s="18" t="s">
        <v>161</v>
      </c>
      <c r="H16" s="18" t="s">
        <v>162</v>
      </c>
      <c r="I16" s="18" t="s">
        <v>163</v>
      </c>
      <c r="J16" s="19" t="s">
        <v>35</v>
      </c>
      <c r="K16" s="18" t="s">
        <v>70</v>
      </c>
      <c r="L16" s="18" t="s">
        <v>158</v>
      </c>
      <c r="M16" s="20"/>
      <c r="N16" s="21" t="s">
        <v>72</v>
      </c>
      <c r="O16" s="21"/>
      <c r="P16" s="21"/>
      <c r="Q16" s="20"/>
      <c r="R16" s="20"/>
    </row>
    <row r="17" customFormat="false" ht="44.25" hidden="false" customHeight="true" outlineLevel="0" collapsed="false">
      <c r="A17" s="17" t="s">
        <v>164</v>
      </c>
      <c r="B17" s="18" t="s">
        <v>25</v>
      </c>
      <c r="C17" s="19" t="s">
        <v>149</v>
      </c>
      <c r="D17" s="18" t="s">
        <v>165</v>
      </c>
      <c r="E17" s="18" t="s">
        <v>40</v>
      </c>
      <c r="F17" s="18" t="s">
        <v>142</v>
      </c>
      <c r="G17" s="18" t="s">
        <v>166</v>
      </c>
      <c r="H17" s="18" t="s">
        <v>167</v>
      </c>
      <c r="I17" s="18" t="s">
        <v>168</v>
      </c>
      <c r="J17" s="19" t="s">
        <v>35</v>
      </c>
      <c r="K17" s="18" t="s">
        <v>70</v>
      </c>
      <c r="L17" s="18" t="s">
        <v>158</v>
      </c>
      <c r="M17" s="20"/>
      <c r="N17" s="21" t="s">
        <v>72</v>
      </c>
      <c r="O17" s="21"/>
      <c r="P17" s="21"/>
      <c r="Q17" s="20"/>
      <c r="R17" s="20"/>
    </row>
    <row r="18" customFormat="false" ht="30.75" hidden="false" customHeight="true" outlineLevel="0" collapsed="false">
      <c r="A18" s="17" t="s">
        <v>169</v>
      </c>
      <c r="B18" s="18" t="s">
        <v>25</v>
      </c>
      <c r="C18" s="19" t="s">
        <v>170</v>
      </c>
      <c r="D18" s="18" t="s">
        <v>171</v>
      </c>
      <c r="E18" s="18" t="s">
        <v>40</v>
      </c>
      <c r="F18" s="18" t="s">
        <v>142</v>
      </c>
      <c r="G18" s="18" t="s">
        <v>172</v>
      </c>
      <c r="H18" s="18" t="s">
        <v>173</v>
      </c>
      <c r="I18" s="18" t="s">
        <v>174</v>
      </c>
      <c r="J18" s="19" t="s">
        <v>34</v>
      </c>
      <c r="K18" s="18" t="s">
        <v>70</v>
      </c>
      <c r="L18" s="18" t="s">
        <v>124</v>
      </c>
      <c r="M18" s="20"/>
      <c r="N18" s="21" t="s">
        <v>72</v>
      </c>
      <c r="O18" s="21"/>
      <c r="P18" s="21"/>
      <c r="Q18" s="20"/>
      <c r="R18" s="20"/>
    </row>
    <row r="19" customFormat="false" ht="44.25" hidden="false" customHeight="true" outlineLevel="0" collapsed="false">
      <c r="A19" s="17" t="s">
        <v>175</v>
      </c>
      <c r="B19" s="18" t="s">
        <v>25</v>
      </c>
      <c r="C19" s="19" t="s">
        <v>170</v>
      </c>
      <c r="D19" s="18" t="s">
        <v>176</v>
      </c>
      <c r="E19" s="18" t="s">
        <v>40</v>
      </c>
      <c r="F19" s="18" t="s">
        <v>177</v>
      </c>
      <c r="G19" s="18" t="s">
        <v>178</v>
      </c>
      <c r="H19" s="18" t="s">
        <v>173</v>
      </c>
      <c r="I19" s="18" t="s">
        <v>179</v>
      </c>
      <c r="J19" s="19" t="s">
        <v>34</v>
      </c>
      <c r="K19" s="18" t="s">
        <v>70</v>
      </c>
      <c r="L19" s="18" t="s">
        <v>124</v>
      </c>
      <c r="M19" s="20"/>
      <c r="N19" s="21" t="s">
        <v>72</v>
      </c>
      <c r="O19" s="21"/>
      <c r="P19" s="21"/>
      <c r="Q19" s="20"/>
      <c r="R19" s="20"/>
    </row>
    <row r="20" customFormat="false" ht="30.75" hidden="false" customHeight="true" outlineLevel="0" collapsed="false">
      <c r="A20" s="17" t="s">
        <v>180</v>
      </c>
      <c r="B20" s="18" t="s">
        <v>25</v>
      </c>
      <c r="C20" s="19" t="s">
        <v>170</v>
      </c>
      <c r="D20" s="18" t="s">
        <v>181</v>
      </c>
      <c r="E20" s="18" t="s">
        <v>40</v>
      </c>
      <c r="F20" s="18" t="s">
        <v>142</v>
      </c>
      <c r="G20" s="18" t="s">
        <v>182</v>
      </c>
      <c r="H20" s="18" t="s">
        <v>183</v>
      </c>
      <c r="I20" s="18" t="s">
        <v>184</v>
      </c>
      <c r="J20" s="19" t="s">
        <v>35</v>
      </c>
      <c r="K20" s="18" t="s">
        <v>70</v>
      </c>
      <c r="L20" s="18" t="s">
        <v>185</v>
      </c>
      <c r="M20" s="20"/>
      <c r="N20" s="21" t="s">
        <v>72</v>
      </c>
      <c r="O20" s="21"/>
      <c r="P20" s="21"/>
      <c r="Q20" s="20"/>
      <c r="R20" s="20"/>
    </row>
    <row r="21" customFormat="false" ht="44.25" hidden="false" customHeight="true" outlineLevel="0" collapsed="false">
      <c r="A21" s="17" t="s">
        <v>186</v>
      </c>
      <c r="B21" s="18" t="s">
        <v>26</v>
      </c>
      <c r="C21" s="19" t="s">
        <v>187</v>
      </c>
      <c r="D21" s="18" t="s">
        <v>188</v>
      </c>
      <c r="E21" s="18" t="s">
        <v>40</v>
      </c>
      <c r="F21" s="18" t="s">
        <v>142</v>
      </c>
      <c r="G21" s="18" t="s">
        <v>189</v>
      </c>
      <c r="H21" s="18" t="s">
        <v>190</v>
      </c>
      <c r="I21" s="18" t="s">
        <v>191</v>
      </c>
      <c r="J21" s="19" t="s">
        <v>34</v>
      </c>
      <c r="K21" s="18" t="s">
        <v>70</v>
      </c>
      <c r="L21" s="18" t="s">
        <v>147</v>
      </c>
      <c r="M21" s="20"/>
      <c r="N21" s="21" t="s">
        <v>72</v>
      </c>
      <c r="O21" s="21"/>
      <c r="P21" s="21"/>
      <c r="Q21" s="20"/>
      <c r="R21" s="20"/>
    </row>
    <row r="22" customFormat="false" ht="30.75" hidden="false" customHeight="true" outlineLevel="0" collapsed="false">
      <c r="A22" s="17" t="s">
        <v>192</v>
      </c>
      <c r="B22" s="18" t="s">
        <v>26</v>
      </c>
      <c r="C22" s="19" t="s">
        <v>170</v>
      </c>
      <c r="D22" s="18" t="s">
        <v>193</v>
      </c>
      <c r="E22" s="18" t="s">
        <v>40</v>
      </c>
      <c r="F22" s="18" t="s">
        <v>194</v>
      </c>
      <c r="G22" s="18" t="s">
        <v>195</v>
      </c>
      <c r="H22" s="18" t="s">
        <v>196</v>
      </c>
      <c r="I22" s="18" t="s">
        <v>174</v>
      </c>
      <c r="J22" s="19" t="s">
        <v>35</v>
      </c>
      <c r="K22" s="18" t="s">
        <v>70</v>
      </c>
      <c r="L22" s="18" t="s">
        <v>124</v>
      </c>
      <c r="M22" s="20"/>
      <c r="N22" s="21" t="s">
        <v>72</v>
      </c>
      <c r="O22" s="21"/>
      <c r="P22" s="21"/>
      <c r="Q22" s="20"/>
      <c r="R22" s="20"/>
    </row>
    <row r="23" customFormat="false" ht="30.75" hidden="false" customHeight="true" outlineLevel="0" collapsed="false">
      <c r="A23" s="17" t="s">
        <v>197</v>
      </c>
      <c r="B23" s="18" t="s">
        <v>26</v>
      </c>
      <c r="C23" s="19" t="s">
        <v>187</v>
      </c>
      <c r="D23" s="18" t="s">
        <v>198</v>
      </c>
      <c r="E23" s="18" t="s">
        <v>40</v>
      </c>
      <c r="F23" s="18" t="s">
        <v>199</v>
      </c>
      <c r="G23" s="18" t="s">
        <v>200</v>
      </c>
      <c r="H23" s="18" t="s">
        <v>112</v>
      </c>
      <c r="I23" s="18" t="s">
        <v>201</v>
      </c>
      <c r="J23" s="19" t="s">
        <v>35</v>
      </c>
      <c r="K23" s="18" t="s">
        <v>70</v>
      </c>
      <c r="L23" s="18" t="s">
        <v>138</v>
      </c>
      <c r="M23" s="20"/>
      <c r="N23" s="21" t="s">
        <v>72</v>
      </c>
      <c r="O23" s="21"/>
      <c r="P23" s="21"/>
      <c r="Q23" s="20"/>
      <c r="R23" s="20"/>
    </row>
    <row r="24" customFormat="false" ht="44.25" hidden="false" customHeight="true" outlineLevel="0" collapsed="false">
      <c r="A24" s="17" t="s">
        <v>202</v>
      </c>
      <c r="B24" s="18" t="s">
        <v>27</v>
      </c>
      <c r="C24" s="19" t="s">
        <v>170</v>
      </c>
      <c r="D24" s="18" t="s">
        <v>203</v>
      </c>
      <c r="E24" s="18" t="s">
        <v>40</v>
      </c>
      <c r="F24" s="18" t="s">
        <v>204</v>
      </c>
      <c r="G24" s="18" t="s">
        <v>205</v>
      </c>
      <c r="H24" s="18" t="s">
        <v>206</v>
      </c>
      <c r="I24" s="18" t="s">
        <v>207</v>
      </c>
      <c r="J24" s="19" t="s">
        <v>34</v>
      </c>
      <c r="K24" s="18" t="s">
        <v>70</v>
      </c>
      <c r="L24" s="18" t="s">
        <v>147</v>
      </c>
      <c r="M24" s="20"/>
      <c r="N24" s="21" t="s">
        <v>72</v>
      </c>
      <c r="O24" s="21"/>
      <c r="P24" s="21"/>
      <c r="Q24" s="20"/>
      <c r="R24" s="20"/>
    </row>
    <row r="25" customFormat="false" ht="44.25" hidden="false" customHeight="true" outlineLevel="0" collapsed="false">
      <c r="A25" s="17" t="s">
        <v>208</v>
      </c>
      <c r="B25" s="18" t="s">
        <v>27</v>
      </c>
      <c r="C25" s="19" t="s">
        <v>170</v>
      </c>
      <c r="D25" s="18" t="s">
        <v>209</v>
      </c>
      <c r="E25" s="18" t="s">
        <v>40</v>
      </c>
      <c r="F25" s="18" t="s">
        <v>210</v>
      </c>
      <c r="G25" s="18" t="s">
        <v>211</v>
      </c>
      <c r="H25" s="18" t="s">
        <v>196</v>
      </c>
      <c r="I25" s="18" t="s">
        <v>212</v>
      </c>
      <c r="J25" s="19" t="s">
        <v>34</v>
      </c>
      <c r="K25" s="18" t="s">
        <v>70</v>
      </c>
      <c r="L25" s="18" t="s">
        <v>124</v>
      </c>
      <c r="M25" s="20"/>
      <c r="N25" s="21" t="s">
        <v>72</v>
      </c>
      <c r="O25" s="21"/>
      <c r="P25" s="21"/>
      <c r="Q25" s="20"/>
      <c r="R25" s="20"/>
    </row>
    <row r="26" customFormat="false" ht="44.25" hidden="false" customHeight="true" outlineLevel="0" collapsed="false">
      <c r="A26" s="17" t="s">
        <v>213</v>
      </c>
      <c r="B26" s="18" t="s">
        <v>27</v>
      </c>
      <c r="C26" s="19" t="s">
        <v>170</v>
      </c>
      <c r="D26" s="18" t="s">
        <v>214</v>
      </c>
      <c r="E26" s="18" t="s">
        <v>40</v>
      </c>
      <c r="F26" s="18" t="s">
        <v>215</v>
      </c>
      <c r="G26" s="18" t="s">
        <v>216</v>
      </c>
      <c r="H26" s="18" t="s">
        <v>112</v>
      </c>
      <c r="I26" s="18" t="s">
        <v>217</v>
      </c>
      <c r="J26" s="19" t="s">
        <v>35</v>
      </c>
      <c r="K26" s="18" t="s">
        <v>70</v>
      </c>
      <c r="L26" s="18" t="s">
        <v>138</v>
      </c>
      <c r="M26" s="20"/>
      <c r="N26" s="21" t="s">
        <v>72</v>
      </c>
      <c r="O26" s="21"/>
      <c r="P26" s="21"/>
      <c r="Q26" s="20"/>
      <c r="R26" s="20"/>
    </row>
    <row r="27" customFormat="false" ht="57.75" hidden="false" customHeight="true" outlineLevel="0" collapsed="false">
      <c r="A27" s="17" t="s">
        <v>218</v>
      </c>
      <c r="B27" s="18" t="s">
        <v>28</v>
      </c>
      <c r="C27" s="19" t="s">
        <v>219</v>
      </c>
      <c r="D27" s="18" t="s">
        <v>220</v>
      </c>
      <c r="E27" s="18" t="s">
        <v>40</v>
      </c>
      <c r="F27" s="18" t="s">
        <v>142</v>
      </c>
      <c r="G27" s="18" t="s">
        <v>221</v>
      </c>
      <c r="H27" s="18" t="s">
        <v>222</v>
      </c>
      <c r="I27" s="18" t="s">
        <v>223</v>
      </c>
      <c r="J27" s="19" t="s">
        <v>34</v>
      </c>
      <c r="K27" s="18" t="s">
        <v>79</v>
      </c>
      <c r="L27" s="18" t="s">
        <v>224</v>
      </c>
      <c r="M27" s="20"/>
      <c r="N27" s="21" t="s">
        <v>72</v>
      </c>
      <c r="O27" s="21"/>
      <c r="P27" s="21"/>
      <c r="Q27" s="20"/>
      <c r="R27" s="20"/>
    </row>
    <row r="28" customFormat="false" ht="57.75" hidden="false" customHeight="true" outlineLevel="0" collapsed="false">
      <c r="A28" s="17" t="s">
        <v>225</v>
      </c>
      <c r="B28" s="18" t="s">
        <v>28</v>
      </c>
      <c r="C28" s="19" t="s">
        <v>226</v>
      </c>
      <c r="D28" s="18" t="s">
        <v>227</v>
      </c>
      <c r="E28" s="18" t="s">
        <v>40</v>
      </c>
      <c r="F28" s="18" t="s">
        <v>228</v>
      </c>
      <c r="G28" s="18" t="s">
        <v>229</v>
      </c>
      <c r="H28" s="18" t="s">
        <v>222</v>
      </c>
      <c r="I28" s="18" t="s">
        <v>230</v>
      </c>
      <c r="J28" s="19" t="s">
        <v>34</v>
      </c>
      <c r="K28" s="18" t="s">
        <v>70</v>
      </c>
      <c r="L28" s="18" t="s">
        <v>71</v>
      </c>
      <c r="M28" s="20"/>
      <c r="N28" s="21" t="s">
        <v>72</v>
      </c>
      <c r="O28" s="21"/>
      <c r="P28" s="21"/>
      <c r="Q28" s="20"/>
      <c r="R28" s="20"/>
    </row>
    <row r="29" customFormat="false" ht="44.25" hidden="false" customHeight="true" outlineLevel="0" collapsed="false">
      <c r="A29" s="17" t="s">
        <v>231</v>
      </c>
      <c r="B29" s="18" t="s">
        <v>28</v>
      </c>
      <c r="C29" s="19" t="s">
        <v>226</v>
      </c>
      <c r="D29" s="18" t="s">
        <v>232</v>
      </c>
      <c r="E29" s="18" t="s">
        <v>40</v>
      </c>
      <c r="F29" s="18" t="s">
        <v>233</v>
      </c>
      <c r="G29" s="18" t="s">
        <v>234</v>
      </c>
      <c r="H29" s="18" t="s">
        <v>235</v>
      </c>
      <c r="I29" s="18" t="s">
        <v>236</v>
      </c>
      <c r="J29" s="19" t="s">
        <v>34</v>
      </c>
      <c r="K29" s="18" t="s">
        <v>79</v>
      </c>
      <c r="L29" s="18" t="s">
        <v>92</v>
      </c>
      <c r="M29" s="20"/>
      <c r="N29" s="21" t="s">
        <v>72</v>
      </c>
      <c r="O29" s="21"/>
      <c r="P29" s="21"/>
      <c r="Q29" s="20"/>
      <c r="R29" s="20"/>
    </row>
    <row r="30" customFormat="false" ht="57.75" hidden="false" customHeight="true" outlineLevel="0" collapsed="false">
      <c r="A30" s="17" t="s">
        <v>237</v>
      </c>
      <c r="B30" s="18" t="s">
        <v>28</v>
      </c>
      <c r="C30" s="19" t="s">
        <v>226</v>
      </c>
      <c r="D30" s="18" t="s">
        <v>238</v>
      </c>
      <c r="E30" s="18" t="s">
        <v>40</v>
      </c>
      <c r="F30" s="18" t="s">
        <v>233</v>
      </c>
      <c r="G30" s="18" t="s">
        <v>239</v>
      </c>
      <c r="H30" s="18" t="s">
        <v>240</v>
      </c>
      <c r="I30" s="18" t="s">
        <v>241</v>
      </c>
      <c r="J30" s="19" t="s">
        <v>34</v>
      </c>
      <c r="K30" s="18" t="s">
        <v>79</v>
      </c>
      <c r="L30" s="18" t="s">
        <v>92</v>
      </c>
      <c r="M30" s="20"/>
      <c r="N30" s="21" t="s">
        <v>72</v>
      </c>
      <c r="O30" s="21"/>
      <c r="P30" s="21"/>
      <c r="Q30" s="20"/>
      <c r="R30" s="20"/>
    </row>
    <row r="31" customFormat="false" ht="44.25" hidden="false" customHeight="true" outlineLevel="0" collapsed="false">
      <c r="A31" s="17" t="s">
        <v>242</v>
      </c>
      <c r="B31" s="18" t="s">
        <v>28</v>
      </c>
      <c r="C31" s="19" t="s">
        <v>226</v>
      </c>
      <c r="D31" s="18" t="s">
        <v>243</v>
      </c>
      <c r="E31" s="18" t="s">
        <v>40</v>
      </c>
      <c r="F31" s="18" t="s">
        <v>233</v>
      </c>
      <c r="G31" s="18" t="s">
        <v>244</v>
      </c>
      <c r="H31" s="18" t="s">
        <v>245</v>
      </c>
      <c r="I31" s="18" t="s">
        <v>246</v>
      </c>
      <c r="J31" s="19" t="s">
        <v>34</v>
      </c>
      <c r="K31" s="18" t="s">
        <v>79</v>
      </c>
      <c r="L31" s="18" t="s">
        <v>92</v>
      </c>
      <c r="M31" s="20"/>
      <c r="N31" s="21" t="s">
        <v>72</v>
      </c>
      <c r="O31" s="21"/>
      <c r="P31" s="21"/>
      <c r="Q31" s="20"/>
      <c r="R31" s="20"/>
    </row>
    <row r="32" customFormat="false" ht="44.25" hidden="false" customHeight="true" outlineLevel="0" collapsed="false">
      <c r="A32" s="17" t="s">
        <v>247</v>
      </c>
      <c r="B32" s="18" t="s">
        <v>28</v>
      </c>
      <c r="C32" s="19" t="s">
        <v>248</v>
      </c>
      <c r="D32" s="18" t="s">
        <v>249</v>
      </c>
      <c r="E32" s="18" t="s">
        <v>40</v>
      </c>
      <c r="F32" s="18" t="s">
        <v>233</v>
      </c>
      <c r="G32" s="18" t="s">
        <v>250</v>
      </c>
      <c r="H32" s="18" t="s">
        <v>251</v>
      </c>
      <c r="I32" s="18" t="s">
        <v>252</v>
      </c>
      <c r="J32" s="19" t="s">
        <v>35</v>
      </c>
      <c r="K32" s="18" t="s">
        <v>79</v>
      </c>
      <c r="L32" s="18" t="s">
        <v>80</v>
      </c>
      <c r="M32" s="20"/>
      <c r="N32" s="21" t="s">
        <v>72</v>
      </c>
      <c r="O32" s="21"/>
      <c r="P32" s="21"/>
      <c r="Q32" s="20"/>
      <c r="R32" s="20"/>
    </row>
    <row r="33" customFormat="false" ht="57.75" hidden="false" customHeight="true" outlineLevel="0" collapsed="false">
      <c r="A33" s="17" t="s">
        <v>253</v>
      </c>
      <c r="B33" s="18" t="s">
        <v>28</v>
      </c>
      <c r="C33" s="19" t="s">
        <v>248</v>
      </c>
      <c r="D33" s="18" t="s">
        <v>254</v>
      </c>
      <c r="E33" s="18" t="s">
        <v>40</v>
      </c>
      <c r="F33" s="18" t="s">
        <v>233</v>
      </c>
      <c r="G33" s="18" t="s">
        <v>255</v>
      </c>
      <c r="H33" s="18" t="s">
        <v>256</v>
      </c>
      <c r="I33" s="18" t="s">
        <v>257</v>
      </c>
      <c r="J33" s="19" t="s">
        <v>35</v>
      </c>
      <c r="K33" s="18" t="s">
        <v>79</v>
      </c>
      <c r="L33" s="18" t="s">
        <v>80</v>
      </c>
      <c r="M33" s="20"/>
      <c r="N33" s="21" t="s">
        <v>72</v>
      </c>
      <c r="O33" s="21"/>
      <c r="P33" s="21"/>
      <c r="Q33" s="20"/>
      <c r="R33" s="20"/>
    </row>
    <row r="34" customFormat="false" ht="44.25" hidden="false" customHeight="true" outlineLevel="0" collapsed="false">
      <c r="A34" s="17" t="s">
        <v>258</v>
      </c>
      <c r="B34" s="18" t="s">
        <v>28</v>
      </c>
      <c r="C34" s="19" t="s">
        <v>259</v>
      </c>
      <c r="D34" s="18" t="s">
        <v>260</v>
      </c>
      <c r="E34" s="18" t="s">
        <v>40</v>
      </c>
      <c r="F34" s="18" t="s">
        <v>261</v>
      </c>
      <c r="G34" s="18" t="s">
        <v>262</v>
      </c>
      <c r="H34" s="18" t="s">
        <v>263</v>
      </c>
      <c r="I34" s="18" t="s">
        <v>264</v>
      </c>
      <c r="J34" s="19" t="s">
        <v>34</v>
      </c>
      <c r="K34" s="18" t="s">
        <v>70</v>
      </c>
      <c r="L34" s="18" t="s">
        <v>265</v>
      </c>
      <c r="M34" s="20"/>
      <c r="N34" s="21" t="s">
        <v>72</v>
      </c>
      <c r="O34" s="21"/>
      <c r="P34" s="21"/>
      <c r="Q34" s="20"/>
      <c r="R34" s="20"/>
    </row>
    <row r="35" customFormat="false" ht="44.25" hidden="false" customHeight="true" outlineLevel="0" collapsed="false">
      <c r="A35" s="17" t="s">
        <v>266</v>
      </c>
      <c r="B35" s="18" t="s">
        <v>28</v>
      </c>
      <c r="C35" s="19" t="s">
        <v>267</v>
      </c>
      <c r="D35" s="18" t="s">
        <v>268</v>
      </c>
      <c r="E35" s="18" t="s">
        <v>40</v>
      </c>
      <c r="F35" s="18" t="s">
        <v>269</v>
      </c>
      <c r="G35" s="18" t="s">
        <v>270</v>
      </c>
      <c r="H35" s="18" t="s">
        <v>112</v>
      </c>
      <c r="I35" s="18" t="s">
        <v>271</v>
      </c>
      <c r="J35" s="19" t="s">
        <v>35</v>
      </c>
      <c r="K35" s="18" t="s">
        <v>70</v>
      </c>
      <c r="L35" s="18" t="s">
        <v>138</v>
      </c>
      <c r="M35" s="20"/>
      <c r="N35" s="21" t="s">
        <v>72</v>
      </c>
      <c r="O35" s="21"/>
      <c r="P35" s="21"/>
      <c r="Q35" s="20"/>
      <c r="R35" s="20"/>
    </row>
    <row r="36" customFormat="false" ht="44.25" hidden="false" customHeight="true" outlineLevel="0" collapsed="false">
      <c r="A36" s="17" t="s">
        <v>272</v>
      </c>
      <c r="B36" s="18" t="s">
        <v>28</v>
      </c>
      <c r="C36" s="19" t="s">
        <v>267</v>
      </c>
      <c r="D36" s="18" t="s">
        <v>273</v>
      </c>
      <c r="E36" s="18" t="s">
        <v>40</v>
      </c>
      <c r="F36" s="18" t="s">
        <v>269</v>
      </c>
      <c r="G36" s="18" t="s">
        <v>274</v>
      </c>
      <c r="H36" s="18" t="s">
        <v>112</v>
      </c>
      <c r="I36" s="18" t="s">
        <v>275</v>
      </c>
      <c r="J36" s="19" t="s">
        <v>34</v>
      </c>
      <c r="K36" s="18" t="s">
        <v>70</v>
      </c>
      <c r="L36" s="18" t="s">
        <v>276</v>
      </c>
      <c r="M36" s="20"/>
      <c r="N36" s="21" t="s">
        <v>72</v>
      </c>
      <c r="O36" s="21"/>
      <c r="P36" s="21"/>
      <c r="Q36" s="20"/>
      <c r="R36" s="20"/>
    </row>
    <row r="37" customFormat="false" ht="30.75" hidden="false" customHeight="true" outlineLevel="0" collapsed="false">
      <c r="A37" s="17" t="s">
        <v>277</v>
      </c>
      <c r="B37" s="18" t="s">
        <v>28</v>
      </c>
      <c r="C37" s="19" t="s">
        <v>267</v>
      </c>
      <c r="D37" s="18" t="s">
        <v>278</v>
      </c>
      <c r="E37" s="18" t="s">
        <v>40</v>
      </c>
      <c r="F37" s="18" t="s">
        <v>279</v>
      </c>
      <c r="G37" s="18" t="s">
        <v>280</v>
      </c>
      <c r="H37" s="18" t="s">
        <v>112</v>
      </c>
      <c r="I37" s="18" t="s">
        <v>281</v>
      </c>
      <c r="J37" s="19" t="s">
        <v>36</v>
      </c>
      <c r="K37" s="18" t="s">
        <v>70</v>
      </c>
      <c r="L37" s="18" t="s">
        <v>138</v>
      </c>
      <c r="M37" s="20"/>
      <c r="N37" s="21" t="s">
        <v>72</v>
      </c>
      <c r="O37" s="21"/>
      <c r="P37" s="21"/>
      <c r="Q37" s="20"/>
      <c r="R37" s="20"/>
    </row>
    <row r="38" customFormat="false" ht="44.25" hidden="false" customHeight="true" outlineLevel="0" collapsed="false">
      <c r="A38" s="17" t="s">
        <v>282</v>
      </c>
      <c r="B38" s="18" t="s">
        <v>29</v>
      </c>
      <c r="C38" s="19" t="s">
        <v>110</v>
      </c>
      <c r="D38" s="18" t="s">
        <v>283</v>
      </c>
      <c r="E38" s="18" t="s">
        <v>40</v>
      </c>
      <c r="F38" s="18" t="s">
        <v>142</v>
      </c>
      <c r="G38" s="18" t="s">
        <v>284</v>
      </c>
      <c r="H38" s="18" t="s">
        <v>112</v>
      </c>
      <c r="I38" s="18" t="s">
        <v>285</v>
      </c>
      <c r="J38" s="19" t="s">
        <v>34</v>
      </c>
      <c r="K38" s="18" t="s">
        <v>131</v>
      </c>
      <c r="L38" s="18" t="s">
        <v>124</v>
      </c>
      <c r="M38" s="20"/>
      <c r="N38" s="21" t="s">
        <v>72</v>
      </c>
      <c r="O38" s="21"/>
      <c r="P38" s="21"/>
      <c r="Q38" s="20"/>
      <c r="R38" s="20"/>
    </row>
    <row r="39" customFormat="false" ht="57.75" hidden="false" customHeight="true" outlineLevel="0" collapsed="false">
      <c r="A39" s="17" t="s">
        <v>286</v>
      </c>
      <c r="B39" s="18" t="s">
        <v>29</v>
      </c>
      <c r="C39" s="19" t="s">
        <v>287</v>
      </c>
      <c r="D39" s="18" t="s">
        <v>288</v>
      </c>
      <c r="E39" s="18" t="s">
        <v>40</v>
      </c>
      <c r="F39" s="18" t="s">
        <v>289</v>
      </c>
      <c r="G39" s="18" t="s">
        <v>290</v>
      </c>
      <c r="H39" s="18" t="s">
        <v>112</v>
      </c>
      <c r="I39" s="18" t="s">
        <v>291</v>
      </c>
      <c r="J39" s="19" t="s">
        <v>35</v>
      </c>
      <c r="K39" s="18" t="s">
        <v>70</v>
      </c>
      <c r="L39" s="18" t="s">
        <v>124</v>
      </c>
      <c r="M39" s="20"/>
      <c r="N39" s="21" t="s">
        <v>72</v>
      </c>
      <c r="O39" s="21"/>
      <c r="P39" s="21"/>
      <c r="Q39" s="20"/>
      <c r="R39" s="20"/>
    </row>
    <row r="40" customFormat="false" ht="30.75" hidden="false" customHeight="true" outlineLevel="0" collapsed="false">
      <c r="A40" s="17" t="s">
        <v>292</v>
      </c>
      <c r="B40" s="18" t="s">
        <v>29</v>
      </c>
      <c r="C40" s="19" t="s">
        <v>287</v>
      </c>
      <c r="D40" s="18" t="s">
        <v>293</v>
      </c>
      <c r="E40" s="18" t="s">
        <v>40</v>
      </c>
      <c r="F40" s="18" t="s">
        <v>142</v>
      </c>
      <c r="G40" s="18" t="s">
        <v>294</v>
      </c>
      <c r="H40" s="18" t="s">
        <v>112</v>
      </c>
      <c r="I40" s="18" t="s">
        <v>295</v>
      </c>
      <c r="J40" s="19" t="s">
        <v>36</v>
      </c>
      <c r="K40" s="18" t="s">
        <v>70</v>
      </c>
      <c r="L40" s="18" t="s">
        <v>138</v>
      </c>
      <c r="M40" s="20"/>
      <c r="N40" s="21" t="s">
        <v>72</v>
      </c>
      <c r="O40" s="21"/>
      <c r="P40" s="21"/>
      <c r="Q40" s="20"/>
      <c r="R40" s="20"/>
    </row>
    <row r="41" customFormat="false" ht="44.25" hidden="false" customHeight="true" outlineLevel="0" collapsed="false">
      <c r="A41" s="17" t="s">
        <v>296</v>
      </c>
      <c r="B41" s="18" t="s">
        <v>29</v>
      </c>
      <c r="C41" s="19" t="s">
        <v>287</v>
      </c>
      <c r="D41" s="18" t="s">
        <v>297</v>
      </c>
      <c r="E41" s="18" t="s">
        <v>40</v>
      </c>
      <c r="F41" s="18" t="s">
        <v>142</v>
      </c>
      <c r="G41" s="18" t="s">
        <v>298</v>
      </c>
      <c r="H41" s="18" t="s">
        <v>112</v>
      </c>
      <c r="I41" s="18" t="s">
        <v>299</v>
      </c>
      <c r="J41" s="19" t="s">
        <v>36</v>
      </c>
      <c r="K41" s="18" t="s">
        <v>70</v>
      </c>
      <c r="L41" s="18" t="s">
        <v>138</v>
      </c>
      <c r="M41" s="20"/>
      <c r="N41" s="21" t="s">
        <v>72</v>
      </c>
      <c r="O41" s="21"/>
      <c r="P41" s="21"/>
      <c r="Q41" s="20"/>
      <c r="R41" s="20"/>
    </row>
    <row r="42" customFormat="false" ht="30.75" hidden="false" customHeight="true" outlineLevel="0" collapsed="false">
      <c r="A42" s="17" t="s">
        <v>300</v>
      </c>
      <c r="B42" s="18" t="s">
        <v>25</v>
      </c>
      <c r="C42" s="19" t="s">
        <v>301</v>
      </c>
      <c r="D42" s="18" t="s">
        <v>302</v>
      </c>
      <c r="E42" s="18" t="s">
        <v>42</v>
      </c>
      <c r="F42" s="18" t="s">
        <v>303</v>
      </c>
      <c r="G42" s="18" t="s">
        <v>304</v>
      </c>
      <c r="H42" s="18" t="s">
        <v>112</v>
      </c>
      <c r="I42" s="18" t="s">
        <v>305</v>
      </c>
      <c r="J42" s="19" t="s">
        <v>35</v>
      </c>
      <c r="K42" s="18" t="s">
        <v>306</v>
      </c>
      <c r="L42" s="18" t="s">
        <v>307</v>
      </c>
      <c r="M42" s="20"/>
      <c r="N42" s="21" t="s">
        <v>72</v>
      </c>
      <c r="O42" s="21"/>
      <c r="P42" s="21"/>
      <c r="Q42" s="20"/>
      <c r="R42" s="20"/>
    </row>
    <row r="43" customFormat="false" ht="125.25" hidden="false" customHeight="true" outlineLevel="0" collapsed="false">
      <c r="A43" s="17" t="s">
        <v>308</v>
      </c>
      <c r="B43" s="18" t="s">
        <v>30</v>
      </c>
      <c r="C43" s="19" t="s">
        <v>301</v>
      </c>
      <c r="D43" s="18" t="s">
        <v>309</v>
      </c>
      <c r="E43" s="18" t="s">
        <v>42</v>
      </c>
      <c r="F43" s="18" t="s">
        <v>66</v>
      </c>
      <c r="G43" s="18" t="s">
        <v>310</v>
      </c>
      <c r="H43" s="18" t="s">
        <v>222</v>
      </c>
      <c r="I43" s="18" t="s">
        <v>311</v>
      </c>
      <c r="J43" s="19" t="s">
        <v>34</v>
      </c>
      <c r="K43" s="18" t="s">
        <v>312</v>
      </c>
      <c r="L43" s="18" t="s">
        <v>307</v>
      </c>
      <c r="M43" s="20"/>
      <c r="N43" s="21" t="s">
        <v>72</v>
      </c>
      <c r="O43" s="21"/>
      <c r="P43" s="21"/>
      <c r="Q43" s="20"/>
      <c r="R43" s="20"/>
    </row>
    <row r="44" customFormat="false" ht="30.75" hidden="false" customHeight="true" outlineLevel="0" collapsed="false">
      <c r="A44" s="17" t="s">
        <v>313</v>
      </c>
      <c r="B44" s="18" t="s">
        <v>25</v>
      </c>
      <c r="C44" s="19" t="s">
        <v>301</v>
      </c>
      <c r="D44" s="18" t="s">
        <v>314</v>
      </c>
      <c r="E44" s="18" t="s">
        <v>42</v>
      </c>
      <c r="F44" s="18" t="s">
        <v>315</v>
      </c>
      <c r="G44" s="18" t="s">
        <v>161</v>
      </c>
      <c r="H44" s="18" t="s">
        <v>162</v>
      </c>
      <c r="I44" s="18" t="s">
        <v>316</v>
      </c>
      <c r="J44" s="19" t="s">
        <v>35</v>
      </c>
      <c r="K44" s="18" t="s">
        <v>312</v>
      </c>
      <c r="L44" s="18" t="s">
        <v>307</v>
      </c>
      <c r="M44" s="20"/>
      <c r="N44" s="21" t="s">
        <v>72</v>
      </c>
      <c r="O44" s="21"/>
      <c r="P44" s="21"/>
      <c r="Q44" s="20"/>
      <c r="R44" s="20"/>
    </row>
    <row r="45" customFormat="false" ht="84.75" hidden="false" customHeight="true" outlineLevel="0" collapsed="false">
      <c r="A45" s="17" t="s">
        <v>317</v>
      </c>
      <c r="B45" s="18" t="s">
        <v>24</v>
      </c>
      <c r="C45" s="19" t="s">
        <v>318</v>
      </c>
      <c r="D45" s="18" t="s">
        <v>319</v>
      </c>
      <c r="E45" s="18" t="s">
        <v>43</v>
      </c>
      <c r="F45" s="18" t="s">
        <v>66</v>
      </c>
      <c r="G45" s="18" t="s">
        <v>320</v>
      </c>
      <c r="H45" s="18" t="s">
        <v>321</v>
      </c>
      <c r="I45" s="18" t="s">
        <v>322</v>
      </c>
      <c r="J45" s="19" t="s">
        <v>35</v>
      </c>
      <c r="K45" s="18" t="s">
        <v>323</v>
      </c>
      <c r="L45" s="18" t="s">
        <v>324</v>
      </c>
      <c r="M45" s="20"/>
      <c r="N45" s="21" t="s">
        <v>72</v>
      </c>
      <c r="O45" s="21"/>
      <c r="P45" s="21"/>
      <c r="Q45" s="20"/>
      <c r="R45" s="20"/>
    </row>
    <row r="46" customFormat="false" ht="125.25" hidden="false" customHeight="true" outlineLevel="0" collapsed="false">
      <c r="A46" s="17" t="s">
        <v>325</v>
      </c>
      <c r="B46" s="18" t="s">
        <v>30</v>
      </c>
      <c r="C46" s="19" t="s">
        <v>301</v>
      </c>
      <c r="D46" s="18" t="s">
        <v>326</v>
      </c>
      <c r="E46" s="18" t="s">
        <v>44</v>
      </c>
      <c r="F46" s="18" t="s">
        <v>66</v>
      </c>
      <c r="G46" s="18" t="s">
        <v>310</v>
      </c>
      <c r="H46" s="18" t="s">
        <v>222</v>
      </c>
      <c r="I46" s="18" t="s">
        <v>311</v>
      </c>
      <c r="J46" s="19" t="s">
        <v>34</v>
      </c>
      <c r="K46" s="18" t="s">
        <v>312</v>
      </c>
      <c r="L46" s="18" t="s">
        <v>307</v>
      </c>
      <c r="M46" s="20"/>
      <c r="N46" s="21" t="s">
        <v>72</v>
      </c>
      <c r="O46" s="21"/>
      <c r="P46" s="21"/>
      <c r="Q46" s="20"/>
      <c r="R46" s="20"/>
    </row>
    <row r="47" customFormat="false" ht="30.75" hidden="false" customHeight="true" outlineLevel="0" collapsed="false">
      <c r="A47" s="17" t="s">
        <v>327</v>
      </c>
      <c r="B47" s="18" t="s">
        <v>25</v>
      </c>
      <c r="C47" s="19" t="s">
        <v>301</v>
      </c>
      <c r="D47" s="18" t="s">
        <v>328</v>
      </c>
      <c r="E47" s="18" t="s">
        <v>44</v>
      </c>
      <c r="F47" s="18" t="s">
        <v>329</v>
      </c>
      <c r="G47" s="18" t="s">
        <v>330</v>
      </c>
      <c r="H47" s="18" t="s">
        <v>331</v>
      </c>
      <c r="I47" s="18" t="s">
        <v>332</v>
      </c>
      <c r="J47" s="19" t="s">
        <v>35</v>
      </c>
      <c r="K47" s="18" t="s">
        <v>312</v>
      </c>
      <c r="L47" s="18" t="s">
        <v>307</v>
      </c>
      <c r="M47" s="20"/>
      <c r="N47" s="21" t="s">
        <v>72</v>
      </c>
      <c r="O47" s="21"/>
      <c r="P47" s="21"/>
      <c r="Q47" s="20"/>
      <c r="R47" s="20"/>
    </row>
    <row r="48" customFormat="false" ht="44.25" hidden="false" customHeight="true" outlineLevel="0" collapsed="false">
      <c r="A48" s="17" t="s">
        <v>333</v>
      </c>
      <c r="B48" s="18" t="s">
        <v>25</v>
      </c>
      <c r="C48" s="19" t="s">
        <v>301</v>
      </c>
      <c r="D48" s="18" t="s">
        <v>334</v>
      </c>
      <c r="E48" s="18" t="s">
        <v>45</v>
      </c>
      <c r="F48" s="18" t="s">
        <v>335</v>
      </c>
      <c r="G48" s="18" t="s">
        <v>336</v>
      </c>
      <c r="H48" s="18" t="s">
        <v>112</v>
      </c>
      <c r="I48" s="18" t="s">
        <v>337</v>
      </c>
      <c r="J48" s="19" t="s">
        <v>35</v>
      </c>
      <c r="K48" s="18" t="s">
        <v>306</v>
      </c>
      <c r="L48" s="18" t="s">
        <v>307</v>
      </c>
      <c r="M48" s="20"/>
      <c r="N48" s="21" t="s">
        <v>72</v>
      </c>
      <c r="O48" s="21"/>
      <c r="P48" s="21"/>
      <c r="Q48" s="20"/>
      <c r="R48" s="20"/>
    </row>
    <row r="49" customFormat="false" ht="71.25" hidden="false" customHeight="true" outlineLevel="0" collapsed="false">
      <c r="A49" s="17" t="s">
        <v>338</v>
      </c>
      <c r="B49" s="18" t="s">
        <v>30</v>
      </c>
      <c r="C49" s="19" t="s">
        <v>301</v>
      </c>
      <c r="D49" s="18" t="s">
        <v>339</v>
      </c>
      <c r="E49" s="18" t="s">
        <v>45</v>
      </c>
      <c r="F49" s="18" t="s">
        <v>340</v>
      </c>
      <c r="G49" s="18" t="s">
        <v>341</v>
      </c>
      <c r="H49" s="18" t="s">
        <v>222</v>
      </c>
      <c r="I49" s="18" t="s">
        <v>342</v>
      </c>
      <c r="J49" s="19" t="s">
        <v>34</v>
      </c>
      <c r="K49" s="18" t="s">
        <v>312</v>
      </c>
      <c r="L49" s="18" t="s">
        <v>307</v>
      </c>
      <c r="M49" s="20"/>
      <c r="N49" s="21" t="s">
        <v>72</v>
      </c>
      <c r="O49" s="21"/>
      <c r="P49" s="21"/>
      <c r="Q49" s="20"/>
      <c r="R49" s="20"/>
    </row>
    <row r="50" customFormat="false" ht="165.75" hidden="false" customHeight="true" outlineLevel="0" collapsed="false">
      <c r="A50" s="17" t="s">
        <v>343</v>
      </c>
      <c r="B50" s="18" t="s">
        <v>30</v>
      </c>
      <c r="C50" s="19" t="s">
        <v>344</v>
      </c>
      <c r="D50" s="18" t="s">
        <v>345</v>
      </c>
      <c r="E50" s="18" t="s">
        <v>40</v>
      </c>
      <c r="F50" s="18" t="s">
        <v>346</v>
      </c>
      <c r="G50" s="18" t="s">
        <v>347</v>
      </c>
      <c r="H50" s="18" t="s">
        <v>222</v>
      </c>
      <c r="I50" s="18" t="s">
        <v>348</v>
      </c>
      <c r="J50" s="19" t="s">
        <v>36</v>
      </c>
      <c r="K50" s="18" t="s">
        <v>349</v>
      </c>
      <c r="L50" s="18" t="s">
        <v>138</v>
      </c>
      <c r="M50" s="20"/>
      <c r="N50" s="21" t="s">
        <v>72</v>
      </c>
      <c r="O50" s="21"/>
      <c r="P50" s="21"/>
      <c r="Q50" s="20"/>
      <c r="R50" s="20"/>
    </row>
    <row r="51" customFormat="false" ht="44.25" hidden="false" customHeight="true" outlineLevel="0" collapsed="false">
      <c r="A51" s="17" t="s">
        <v>350</v>
      </c>
      <c r="B51" s="18" t="s">
        <v>30</v>
      </c>
      <c r="C51" s="19" t="s">
        <v>344</v>
      </c>
      <c r="D51" s="18" t="s">
        <v>351</v>
      </c>
      <c r="E51" s="18" t="s">
        <v>40</v>
      </c>
      <c r="F51" s="18" t="s">
        <v>352</v>
      </c>
      <c r="G51" s="18" t="s">
        <v>353</v>
      </c>
      <c r="H51" s="18" t="s">
        <v>222</v>
      </c>
      <c r="I51" s="18" t="s">
        <v>354</v>
      </c>
      <c r="J51" s="19" t="s">
        <v>36</v>
      </c>
      <c r="K51" s="18" t="s">
        <v>349</v>
      </c>
      <c r="L51" s="18" t="s">
        <v>138</v>
      </c>
      <c r="M51" s="20"/>
      <c r="N51" s="21" t="s">
        <v>72</v>
      </c>
      <c r="O51" s="21"/>
      <c r="P51" s="21"/>
      <c r="Q51" s="20"/>
      <c r="R51" s="20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20"/>
      <c r="N52" s="20"/>
      <c r="O52" s="20"/>
      <c r="P52" s="20"/>
      <c r="Q52" s="20"/>
      <c r="R52" s="20"/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20"/>
      <c r="N53" s="20"/>
      <c r="O53" s="20"/>
      <c r="P53" s="20"/>
      <c r="Q53" s="20"/>
      <c r="R53" s="20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20"/>
      <c r="N54" s="20"/>
      <c r="O54" s="20"/>
      <c r="P54" s="20"/>
      <c r="Q54" s="20"/>
      <c r="R54" s="20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20"/>
      <c r="N55" s="20"/>
      <c r="O55" s="20"/>
      <c r="P55" s="20"/>
      <c r="Q55" s="20"/>
      <c r="R55" s="20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20"/>
      <c r="N56" s="20"/>
      <c r="O56" s="20"/>
      <c r="P56" s="20"/>
      <c r="Q56" s="20"/>
      <c r="R56" s="20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0"/>
      <c r="N57" s="20"/>
      <c r="O57" s="20"/>
      <c r="P57" s="20"/>
      <c r="Q57" s="20"/>
      <c r="R57" s="20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20"/>
      <c r="N58" s="20"/>
      <c r="O58" s="20"/>
      <c r="P58" s="20"/>
      <c r="Q58" s="20"/>
      <c r="R58" s="20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20"/>
      <c r="N59" s="20"/>
      <c r="O59" s="20"/>
      <c r="P59" s="20"/>
      <c r="Q59" s="20"/>
      <c r="R59" s="20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20"/>
      <c r="N60" s="20"/>
      <c r="O60" s="20"/>
      <c r="P60" s="20"/>
      <c r="Q60" s="20"/>
      <c r="R60" s="20"/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20"/>
      <c r="N61" s="20"/>
      <c r="O61" s="20"/>
      <c r="P61" s="20"/>
      <c r="Q61" s="20"/>
      <c r="R61" s="20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20"/>
      <c r="N62" s="20"/>
      <c r="O62" s="20"/>
      <c r="P62" s="20"/>
      <c r="Q62" s="20"/>
      <c r="R62" s="20"/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0"/>
      <c r="N63" s="20"/>
      <c r="O63" s="20"/>
      <c r="P63" s="20"/>
      <c r="Q63" s="20"/>
      <c r="R63" s="20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/>
      <c r="N64" s="20"/>
      <c r="O64" s="20"/>
      <c r="P64" s="20"/>
      <c r="Q64" s="20"/>
      <c r="R64" s="20"/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/>
      <c r="N65" s="20"/>
      <c r="O65" s="20"/>
      <c r="P65" s="20"/>
      <c r="Q65" s="20"/>
      <c r="R65" s="20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/>
      <c r="N66" s="20"/>
      <c r="O66" s="20"/>
      <c r="P66" s="20"/>
      <c r="Q66" s="20"/>
      <c r="R66" s="20"/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/>
      <c r="N67" s="20"/>
      <c r="O67" s="20"/>
      <c r="P67" s="20"/>
      <c r="Q67" s="20"/>
      <c r="R67" s="20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/>
      <c r="N68" s="20"/>
      <c r="O68" s="20"/>
      <c r="P68" s="20"/>
      <c r="Q68" s="20"/>
      <c r="R68" s="20"/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/>
      <c r="N69" s="20"/>
      <c r="O69" s="20"/>
      <c r="P69" s="20"/>
      <c r="Q69" s="20"/>
      <c r="R69" s="20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20"/>
      <c r="N70" s="20"/>
      <c r="O70" s="20"/>
      <c r="P70" s="20"/>
      <c r="Q70" s="20"/>
      <c r="R70" s="20"/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0"/>
      <c r="N71" s="20"/>
      <c r="O71" s="20"/>
      <c r="P71" s="20"/>
      <c r="Q71" s="20"/>
      <c r="R71" s="20"/>
    </row>
  </sheetData>
  <autoFilter ref="A1:R51"/>
  <conditionalFormatting sqref="N2:N500">
    <cfRule type="expression" priority="2" aboveAverage="0" equalAverage="0" bottom="0" percent="0" rank="0" text="" dxfId="0">
      <formula>$N2="Aprobado"</formula>
    </cfRule>
    <cfRule type="expression" priority="3" aboveAverage="0" equalAverage="0" bottom="0" percent="0" rank="0" text="" dxfId="10">
      <formula>$N2="Fallido"</formula>
    </cfRule>
    <cfRule type="expression" priority="4" aboveAverage="0" equalAverage="0" bottom="0" percent="0" rank="0" text="" dxfId="1">
      <formula>$N2="Bloqueado"</formula>
    </cfRule>
    <cfRule type="expression" priority="5" aboveAverage="0" equalAverage="0" bottom="0" percent="0" rank="0" text="" dxfId="11">
      <formula>$N2="No ejecutado"</formula>
    </cfRule>
  </conditionalFormatting>
  <dataValidations count="5">
    <dataValidation allowBlank="true" error="Elige un valor de la lista: Aprobado, Fallido, Bloqueado o No ejecutado." errorStyle="stop" errorTitle="Estado no válido" operator="between" showDropDown="false" showErrorMessage="true" showInputMessage="false" sqref="N2:N500" type="list">
      <formula1>"Aprobado,Fallido,Bloqueado,No ejecutado"</formula1>
      <formula2>0</formula2>
    </dataValidation>
    <dataValidation allowBlank="true" errorStyle="stop" operator="between" showDropDown="false" showErrorMessage="false" showInputMessage="false" sqref="J2:J500" type="list">
      <formula1>"Alta,Media,Baja"</formula1>
      <formula2>0</formula2>
    </dataValidation>
    <dataValidation allowBlank="true" errorStyle="stop" operator="between" showDropDown="false" showErrorMessage="false" showInputMessage="false" sqref="B2:B500" type="list">
      <formula1>"Login,Catálogo,Detalle,Carrito,Checkout,Menú,Flujo completo"</formula1>
      <formula2>0</formula2>
    </dataValidation>
    <dataValidation allowBlank="true" errorStyle="stop" operator="between" showDropDown="false" showErrorMessage="false" showInputMessage="false" sqref="Q2:Q500" type="list">
      <formula1>"Chrome,Firefox,Chrome (vista móvil)"</formula1>
      <formula2>0</formula2>
    </dataValidation>
    <dataValidation allowBlank="true" errorStyle="stop" operator="between" showDropDown="false" showErrorMessage="false" showInputMessage="false" sqref="C2:C500" type="list">
      <formula1>Requisitos!$A$2:$A$60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946E"/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5" t="s">
        <v>47</v>
      </c>
      <c r="B1" s="15" t="s">
        <v>48</v>
      </c>
      <c r="C1" s="15" t="s">
        <v>355</v>
      </c>
      <c r="D1" s="15" t="s">
        <v>20</v>
      </c>
      <c r="E1" s="15" t="s">
        <v>356</v>
      </c>
      <c r="F1" s="15" t="s">
        <v>357</v>
      </c>
      <c r="G1" s="15" t="s">
        <v>358</v>
      </c>
      <c r="H1" s="15" t="s">
        <v>359</v>
      </c>
      <c r="I1" s="15" t="s">
        <v>360</v>
      </c>
      <c r="J1" s="15" t="s">
        <v>361</v>
      </c>
    </row>
    <row r="2" customFormat="false" ht="27.75" hidden="false" customHeight="true" outlineLevel="0" collapsed="false">
      <c r="A2" s="17" t="s">
        <v>64</v>
      </c>
      <c r="B2" s="18" t="s">
        <v>362</v>
      </c>
      <c r="C2" s="19" t="s">
        <v>363</v>
      </c>
      <c r="D2" s="18" t="s">
        <v>24</v>
      </c>
      <c r="E2" s="18" t="s">
        <v>364</v>
      </c>
      <c r="F2" s="19" t="n">
        <f aca="false">COUNTIF('Casos de prueba'!$C$2:$C$500,A2)</f>
        <v>2</v>
      </c>
      <c r="G2" s="19" t="n">
        <f aca="false">COUNTIFS('Casos de prueba'!$C$2:$C$500,A2,'Casos de prueba'!$N$2:$N$500,"Aprobado")+COUNTIFS('Casos de prueba'!$C$2:$C$500,A2,'Casos de prueba'!$N$2:$N$500,"Fallido")</f>
        <v>0</v>
      </c>
      <c r="H2" s="19" t="n">
        <f aca="false">COUNTIFS('Casos de prueba'!$C$2:$C$500,A2,'Casos de prueba'!$N$2:$N$500,"Fallido")</f>
        <v>0</v>
      </c>
      <c r="I2" s="19" t="str">
        <f aca="false">IF(G2&gt;0,"Cubierto","Pendiente")</f>
        <v>Pendiente</v>
      </c>
      <c r="J2" s="19" t="str">
        <f aca="false">IF(G2=0,"Sin ejecutar",IF(H2&gt;0,"Con fallas","OK"))</f>
        <v>Sin ejecutar</v>
      </c>
    </row>
    <row r="3" customFormat="false" ht="30.75" hidden="false" customHeight="true" outlineLevel="0" collapsed="false">
      <c r="A3" s="17" t="s">
        <v>74</v>
      </c>
      <c r="B3" s="18" t="s">
        <v>365</v>
      </c>
      <c r="C3" s="19" t="s">
        <v>363</v>
      </c>
      <c r="D3" s="18" t="s">
        <v>24</v>
      </c>
      <c r="E3" s="18" t="s">
        <v>366</v>
      </c>
      <c r="F3" s="19" t="n">
        <f aca="false">COUNTIF('Casos de prueba'!$C$2:$C$500,A3)</f>
        <v>6</v>
      </c>
      <c r="G3" s="19" t="n">
        <f aca="false">COUNTIFS('Casos de prueba'!$C$2:$C$500,A3,'Casos de prueba'!$N$2:$N$500,"Aprobado")+COUNTIFS('Casos de prueba'!$C$2:$C$500,A3,'Casos de prueba'!$N$2:$N$500,"Fallido")</f>
        <v>0</v>
      </c>
      <c r="H3" s="19" t="n">
        <f aca="false">COUNTIFS('Casos de prueba'!$C$2:$C$500,A3,'Casos de prueba'!$N$2:$N$500,"Fallido")</f>
        <v>0</v>
      </c>
      <c r="I3" s="19" t="str">
        <f aca="false">IF(G3&gt;0,"Cubierto","Pendiente")</f>
        <v>Pendiente</v>
      </c>
      <c r="J3" s="19" t="str">
        <f aca="false">IF(G3=0,"Sin ejecutar",IF(H3&gt;0,"Con fallas","OK"))</f>
        <v>Sin ejecutar</v>
      </c>
    </row>
    <row r="4" customFormat="false" ht="27.75" hidden="false" customHeight="true" outlineLevel="0" collapsed="false">
      <c r="A4" s="17" t="s">
        <v>103</v>
      </c>
      <c r="B4" s="18" t="s">
        <v>367</v>
      </c>
      <c r="C4" s="19" t="s">
        <v>363</v>
      </c>
      <c r="D4" s="18" t="s">
        <v>24</v>
      </c>
      <c r="E4" s="18" t="s">
        <v>102</v>
      </c>
      <c r="F4" s="19" t="n">
        <f aca="false">COUNTIF('Casos de prueba'!$C$2:$C$500,A4)</f>
        <v>1</v>
      </c>
      <c r="G4" s="19" t="n">
        <f aca="false">COUNTIFS('Casos de prueba'!$C$2:$C$500,A4,'Casos de prueba'!$N$2:$N$500,"Aprobado")+COUNTIFS('Casos de prueba'!$C$2:$C$500,A4,'Casos de prueba'!$N$2:$N$500,"Fallido")</f>
        <v>0</v>
      </c>
      <c r="H4" s="19" t="n">
        <f aca="false">COUNTIFS('Casos de prueba'!$C$2:$C$500,A4,'Casos de prueba'!$N$2:$N$500,"Fallido")</f>
        <v>0</v>
      </c>
      <c r="I4" s="19" t="str">
        <f aca="false">IF(G4&gt;0,"Cubierto","Pendiente")</f>
        <v>Pendiente</v>
      </c>
      <c r="J4" s="19" t="str">
        <f aca="false">IF(G4=0,"Sin ejecutar",IF(H4&gt;0,"Con fallas","OK"))</f>
        <v>Sin ejecutar</v>
      </c>
    </row>
    <row r="5" customFormat="false" ht="30.75" hidden="false" customHeight="true" outlineLevel="0" collapsed="false">
      <c r="A5" s="17" t="s">
        <v>110</v>
      </c>
      <c r="B5" s="18" t="s">
        <v>368</v>
      </c>
      <c r="C5" s="19" t="s">
        <v>363</v>
      </c>
      <c r="D5" s="18" t="s">
        <v>369</v>
      </c>
      <c r="E5" s="18" t="s">
        <v>370</v>
      </c>
      <c r="F5" s="19" t="n">
        <f aca="false">COUNTIF('Casos de prueba'!$C$2:$C$500,A5)</f>
        <v>3</v>
      </c>
      <c r="G5" s="19" t="n">
        <f aca="false">COUNTIFS('Casos de prueba'!$C$2:$C$500,A5,'Casos de prueba'!$N$2:$N$500,"Aprobado")+COUNTIFS('Casos de prueba'!$C$2:$C$500,A5,'Casos de prueba'!$N$2:$N$500,"Fallido")</f>
        <v>0</v>
      </c>
      <c r="H5" s="19" t="n">
        <f aca="false">COUNTIFS('Casos de prueba'!$C$2:$C$500,A5,'Casos de prueba'!$N$2:$N$500,"Fallido")</f>
        <v>0</v>
      </c>
      <c r="I5" s="19" t="str">
        <f aca="false">IF(G5&gt;0,"Cubierto","Pendiente")</f>
        <v>Pendiente</v>
      </c>
      <c r="J5" s="19" t="str">
        <f aca="false">IF(G5=0,"Sin ejecutar",IF(H5&gt;0,"Con fallas","OK"))</f>
        <v>Sin ejecutar</v>
      </c>
    </row>
    <row r="6" customFormat="false" ht="30.75" hidden="false" customHeight="true" outlineLevel="0" collapsed="false">
      <c r="A6" s="17" t="s">
        <v>140</v>
      </c>
      <c r="B6" s="18" t="s">
        <v>371</v>
      </c>
      <c r="C6" s="19" t="s">
        <v>363</v>
      </c>
      <c r="D6" s="18" t="s">
        <v>25</v>
      </c>
      <c r="E6" s="18" t="s">
        <v>139</v>
      </c>
      <c r="F6" s="19" t="n">
        <f aca="false">COUNTIF('Casos de prueba'!$C$2:$C$500,A6)</f>
        <v>1</v>
      </c>
      <c r="G6" s="19" t="n">
        <f aca="false">COUNTIFS('Casos de prueba'!$C$2:$C$500,A6,'Casos de prueba'!$N$2:$N$500,"Aprobado")+COUNTIFS('Casos de prueba'!$C$2:$C$500,A6,'Casos de prueba'!$N$2:$N$500,"Fallido")</f>
        <v>0</v>
      </c>
      <c r="H6" s="19" t="n">
        <f aca="false">COUNTIFS('Casos de prueba'!$C$2:$C$500,A6,'Casos de prueba'!$N$2:$N$500,"Fallido")</f>
        <v>0</v>
      </c>
      <c r="I6" s="19" t="str">
        <f aca="false">IF(G6&gt;0,"Cubierto","Pendiente")</f>
        <v>Pendiente</v>
      </c>
      <c r="J6" s="19" t="str">
        <f aca="false">IF(G6=0,"Sin ejecutar",IF(H6&gt;0,"Con fallas","OK"))</f>
        <v>Sin ejecutar</v>
      </c>
    </row>
    <row r="7" customFormat="false" ht="30.75" hidden="false" customHeight="true" outlineLevel="0" collapsed="false">
      <c r="A7" s="17" t="s">
        <v>149</v>
      </c>
      <c r="B7" s="18" t="s">
        <v>372</v>
      </c>
      <c r="C7" s="19" t="s">
        <v>363</v>
      </c>
      <c r="D7" s="18" t="s">
        <v>25</v>
      </c>
      <c r="E7" s="18" t="s">
        <v>373</v>
      </c>
      <c r="F7" s="19" t="n">
        <f aca="false">COUNTIF('Casos de prueba'!$C$2:$C$500,A7)</f>
        <v>4</v>
      </c>
      <c r="G7" s="19" t="n">
        <f aca="false">COUNTIFS('Casos de prueba'!$C$2:$C$500,A7,'Casos de prueba'!$N$2:$N$500,"Aprobado")+COUNTIFS('Casos de prueba'!$C$2:$C$500,A7,'Casos de prueba'!$N$2:$N$500,"Fallido")</f>
        <v>0</v>
      </c>
      <c r="H7" s="19" t="n">
        <f aca="false">COUNTIFS('Casos de prueba'!$C$2:$C$500,A7,'Casos de prueba'!$N$2:$N$500,"Fallido")</f>
        <v>0</v>
      </c>
      <c r="I7" s="19" t="str">
        <f aca="false">IF(G7&gt;0,"Cubierto","Pendiente")</f>
        <v>Pendiente</v>
      </c>
      <c r="J7" s="19" t="str">
        <f aca="false">IF(G7=0,"Sin ejecutar",IF(H7&gt;0,"Con fallas","OK"))</f>
        <v>Sin ejecutar</v>
      </c>
    </row>
    <row r="8" customFormat="false" ht="30.75" hidden="false" customHeight="true" outlineLevel="0" collapsed="false">
      <c r="A8" s="17" t="s">
        <v>170</v>
      </c>
      <c r="B8" s="18" t="s">
        <v>374</v>
      </c>
      <c r="C8" s="19" t="s">
        <v>363</v>
      </c>
      <c r="D8" s="18" t="s">
        <v>375</v>
      </c>
      <c r="E8" s="18" t="s">
        <v>376</v>
      </c>
      <c r="F8" s="19" t="n">
        <f aca="false">COUNTIF('Casos de prueba'!$C$2:$C$500,A8)</f>
        <v>7</v>
      </c>
      <c r="G8" s="19" t="n">
        <f aca="false">COUNTIFS('Casos de prueba'!$C$2:$C$500,A8,'Casos de prueba'!$N$2:$N$500,"Aprobado")+COUNTIFS('Casos de prueba'!$C$2:$C$500,A8,'Casos de prueba'!$N$2:$N$500,"Fallido")</f>
        <v>0</v>
      </c>
      <c r="H8" s="19" t="n">
        <f aca="false">COUNTIFS('Casos de prueba'!$C$2:$C$500,A8,'Casos de prueba'!$N$2:$N$500,"Fallido")</f>
        <v>0</v>
      </c>
      <c r="I8" s="19" t="str">
        <f aca="false">IF(G8&gt;0,"Cubierto","Pendiente")</f>
        <v>Pendiente</v>
      </c>
      <c r="J8" s="19" t="str">
        <f aca="false">IF(G8=0,"Sin ejecutar",IF(H8&gt;0,"Con fallas","OK"))</f>
        <v>Sin ejecutar</v>
      </c>
    </row>
    <row r="9" customFormat="false" ht="30.75" hidden="false" customHeight="true" outlineLevel="0" collapsed="false">
      <c r="A9" s="17" t="s">
        <v>187</v>
      </c>
      <c r="B9" s="18" t="s">
        <v>377</v>
      </c>
      <c r="C9" s="19" t="s">
        <v>363</v>
      </c>
      <c r="D9" s="18" t="s">
        <v>26</v>
      </c>
      <c r="E9" s="18" t="s">
        <v>378</v>
      </c>
      <c r="F9" s="19" t="n">
        <f aca="false">COUNTIF('Casos de prueba'!$C$2:$C$500,A9)</f>
        <v>2</v>
      </c>
      <c r="G9" s="19" t="n">
        <f aca="false">COUNTIFS('Casos de prueba'!$C$2:$C$500,A9,'Casos de prueba'!$N$2:$N$500,"Aprobado")+COUNTIFS('Casos de prueba'!$C$2:$C$500,A9,'Casos de prueba'!$N$2:$N$500,"Fallido")</f>
        <v>0</v>
      </c>
      <c r="H9" s="19" t="n">
        <f aca="false">COUNTIFS('Casos de prueba'!$C$2:$C$500,A9,'Casos de prueba'!$N$2:$N$500,"Fallido")</f>
        <v>0</v>
      </c>
      <c r="I9" s="19" t="str">
        <f aca="false">IF(G9&gt;0,"Cubierto","Pendiente")</f>
        <v>Pendiente</v>
      </c>
      <c r="J9" s="19" t="str">
        <f aca="false">IF(G9=0,"Sin ejecutar",IF(H9&gt;0,"Con fallas","OK"))</f>
        <v>Sin ejecutar</v>
      </c>
    </row>
    <row r="10" customFormat="false" ht="30.75" hidden="false" customHeight="true" outlineLevel="0" collapsed="false">
      <c r="A10" s="17" t="s">
        <v>226</v>
      </c>
      <c r="B10" s="18" t="s">
        <v>379</v>
      </c>
      <c r="C10" s="19" t="s">
        <v>363</v>
      </c>
      <c r="D10" s="18" t="s">
        <v>28</v>
      </c>
      <c r="E10" s="18" t="s">
        <v>380</v>
      </c>
      <c r="F10" s="19" t="n">
        <f aca="false">COUNTIF('Casos de prueba'!$C$2:$C$500,A10)</f>
        <v>4</v>
      </c>
      <c r="G10" s="19" t="n">
        <f aca="false">COUNTIFS('Casos de prueba'!$C$2:$C$500,A10,'Casos de prueba'!$N$2:$N$500,"Aprobado")+COUNTIFS('Casos de prueba'!$C$2:$C$500,A10,'Casos de prueba'!$N$2:$N$500,"Fallido")</f>
        <v>0</v>
      </c>
      <c r="H10" s="19" t="n">
        <f aca="false">COUNTIFS('Casos de prueba'!$C$2:$C$500,A10,'Casos de prueba'!$N$2:$N$500,"Fallido")</f>
        <v>0</v>
      </c>
      <c r="I10" s="19" t="str">
        <f aca="false">IF(G10&gt;0,"Cubierto","Pendiente")</f>
        <v>Pendiente</v>
      </c>
      <c r="J10" s="19" t="str">
        <f aca="false">IF(G10=0,"Sin ejecutar",IF(H10&gt;0,"Con fallas","OK"))</f>
        <v>Sin ejecutar</v>
      </c>
    </row>
    <row r="11" customFormat="false" ht="30.75" hidden="false" customHeight="true" outlineLevel="0" collapsed="false">
      <c r="A11" s="17" t="s">
        <v>248</v>
      </c>
      <c r="B11" s="18" t="s">
        <v>381</v>
      </c>
      <c r="C11" s="19" t="s">
        <v>382</v>
      </c>
      <c r="D11" s="18" t="s">
        <v>28</v>
      </c>
      <c r="E11" s="18" t="s">
        <v>383</v>
      </c>
      <c r="F11" s="19" t="n">
        <f aca="false">COUNTIF('Casos de prueba'!$C$2:$C$500,A11)</f>
        <v>2</v>
      </c>
      <c r="G11" s="19" t="n">
        <f aca="false">COUNTIFS('Casos de prueba'!$C$2:$C$500,A11,'Casos de prueba'!$N$2:$N$500,"Aprobado")+COUNTIFS('Casos de prueba'!$C$2:$C$500,A11,'Casos de prueba'!$N$2:$N$500,"Fallido")</f>
        <v>0</v>
      </c>
      <c r="H11" s="19" t="n">
        <f aca="false">COUNTIFS('Casos de prueba'!$C$2:$C$500,A11,'Casos de prueba'!$N$2:$N$500,"Fallido")</f>
        <v>0</v>
      </c>
      <c r="I11" s="19" t="str">
        <f aca="false">IF(G11&gt;0,"Cubierto","Pendiente")</f>
        <v>Pendiente</v>
      </c>
      <c r="J11" s="19" t="str">
        <f aca="false">IF(G11=0,"Sin ejecutar",IF(H11&gt;0,"Con fallas","OK"))</f>
        <v>Sin ejecutar</v>
      </c>
    </row>
    <row r="12" customFormat="false" ht="27.75" hidden="false" customHeight="true" outlineLevel="0" collapsed="false">
      <c r="A12" s="17" t="s">
        <v>259</v>
      </c>
      <c r="B12" s="18" t="s">
        <v>384</v>
      </c>
      <c r="C12" s="19" t="s">
        <v>363</v>
      </c>
      <c r="D12" s="18" t="s">
        <v>28</v>
      </c>
      <c r="E12" s="18" t="s">
        <v>258</v>
      </c>
      <c r="F12" s="19" t="n">
        <f aca="false">COUNTIF('Casos de prueba'!$C$2:$C$500,A12)</f>
        <v>1</v>
      </c>
      <c r="G12" s="19" t="n">
        <f aca="false">COUNTIFS('Casos de prueba'!$C$2:$C$500,A12,'Casos de prueba'!$N$2:$N$500,"Aprobado")+COUNTIFS('Casos de prueba'!$C$2:$C$500,A12,'Casos de prueba'!$N$2:$N$500,"Fallido")</f>
        <v>0</v>
      </c>
      <c r="H12" s="19" t="n">
        <f aca="false">COUNTIFS('Casos de prueba'!$C$2:$C$500,A12,'Casos de prueba'!$N$2:$N$500,"Fallido")</f>
        <v>0</v>
      </c>
      <c r="I12" s="19" t="str">
        <f aca="false">IF(G12&gt;0,"Cubierto","Pendiente")</f>
        <v>Pendiente</v>
      </c>
      <c r="J12" s="19" t="str">
        <f aca="false">IF(G12=0,"Sin ejecutar",IF(H12&gt;0,"Con fallas","OK"))</f>
        <v>Sin ejecutar</v>
      </c>
    </row>
    <row r="13" customFormat="false" ht="27.75" hidden="false" customHeight="true" outlineLevel="0" collapsed="false">
      <c r="A13" s="17" t="s">
        <v>219</v>
      </c>
      <c r="B13" s="18" t="s">
        <v>385</v>
      </c>
      <c r="C13" s="19" t="s">
        <v>382</v>
      </c>
      <c r="D13" s="18" t="s">
        <v>28</v>
      </c>
      <c r="E13" s="18" t="s">
        <v>218</v>
      </c>
      <c r="F13" s="19" t="n">
        <f aca="false">COUNTIF('Casos de prueba'!$C$2:$C$500,A13)</f>
        <v>1</v>
      </c>
      <c r="G13" s="19" t="n">
        <f aca="false">COUNTIFS('Casos de prueba'!$C$2:$C$500,A13,'Casos de prueba'!$N$2:$N$500,"Aprobado")+COUNTIFS('Casos de prueba'!$C$2:$C$500,A13,'Casos de prueba'!$N$2:$N$500,"Fallido")</f>
        <v>0</v>
      </c>
      <c r="H13" s="19" t="n">
        <f aca="false">COUNTIFS('Casos de prueba'!$C$2:$C$500,A13,'Casos de prueba'!$N$2:$N$500,"Fallido")</f>
        <v>0</v>
      </c>
      <c r="I13" s="19" t="str">
        <f aca="false">IF(G13&gt;0,"Cubierto","Pendiente")</f>
        <v>Pendiente</v>
      </c>
      <c r="J13" s="19" t="str">
        <f aca="false">IF(G13=0,"Sin ejecutar",IF(H13&gt;0,"Con fallas","OK"))</f>
        <v>Sin ejecutar</v>
      </c>
    </row>
    <row r="14" customFormat="false" ht="30.75" hidden="false" customHeight="true" outlineLevel="0" collapsed="false">
      <c r="A14" s="17" t="s">
        <v>267</v>
      </c>
      <c r="B14" s="18" t="s">
        <v>386</v>
      </c>
      <c r="C14" s="19" t="s">
        <v>363</v>
      </c>
      <c r="D14" s="18" t="s">
        <v>28</v>
      </c>
      <c r="E14" s="18" t="s">
        <v>387</v>
      </c>
      <c r="F14" s="19" t="n">
        <f aca="false">COUNTIF('Casos de prueba'!$C$2:$C$500,A14)</f>
        <v>3</v>
      </c>
      <c r="G14" s="19" t="n">
        <f aca="false">COUNTIFS('Casos de prueba'!$C$2:$C$500,A14,'Casos de prueba'!$N$2:$N$500,"Aprobado")+COUNTIFS('Casos de prueba'!$C$2:$C$500,A14,'Casos de prueba'!$N$2:$N$500,"Fallido")</f>
        <v>0</v>
      </c>
      <c r="H14" s="19" t="n">
        <f aca="false">COUNTIFS('Casos de prueba'!$C$2:$C$500,A14,'Casos de prueba'!$N$2:$N$500,"Fallido")</f>
        <v>0</v>
      </c>
      <c r="I14" s="19" t="str">
        <f aca="false">IF(G14&gt;0,"Cubierto","Pendiente")</f>
        <v>Pendiente</v>
      </c>
      <c r="J14" s="19" t="str">
        <f aca="false">IF(G14=0,"Sin ejecutar",IF(H14&gt;0,"Con fallas","OK"))</f>
        <v>Sin ejecutar</v>
      </c>
    </row>
    <row r="15" customFormat="false" ht="27.75" hidden="false" customHeight="true" outlineLevel="0" collapsed="false">
      <c r="A15" s="17" t="s">
        <v>287</v>
      </c>
      <c r="B15" s="18" t="s">
        <v>388</v>
      </c>
      <c r="C15" s="19" t="s">
        <v>363</v>
      </c>
      <c r="D15" s="18" t="s">
        <v>29</v>
      </c>
      <c r="E15" s="18" t="s">
        <v>389</v>
      </c>
      <c r="F15" s="19" t="n">
        <f aca="false">COUNTIF('Casos de prueba'!$C$2:$C$500,A15)</f>
        <v>3</v>
      </c>
      <c r="G15" s="19" t="n">
        <f aca="false">COUNTIFS('Casos de prueba'!$C$2:$C$500,A15,'Casos de prueba'!$N$2:$N$500,"Aprobado")+COUNTIFS('Casos de prueba'!$C$2:$C$500,A15,'Casos de prueba'!$N$2:$N$500,"Fallido")</f>
        <v>0</v>
      </c>
      <c r="H15" s="19" t="n">
        <f aca="false">COUNTIFS('Casos de prueba'!$C$2:$C$500,A15,'Casos de prueba'!$N$2:$N$500,"Fallido")</f>
        <v>0</v>
      </c>
      <c r="I15" s="19" t="str">
        <f aca="false">IF(G15&gt;0,"Cubierto","Pendiente")</f>
        <v>Pendiente</v>
      </c>
      <c r="J15" s="19" t="str">
        <f aca="false">IF(G15=0,"Sin ejecutar",IF(H15&gt;0,"Con fallas","OK"))</f>
        <v>Sin ejecutar</v>
      </c>
    </row>
    <row r="16" customFormat="false" ht="30.75" hidden="false" customHeight="true" outlineLevel="0" collapsed="false">
      <c r="A16" s="17" t="s">
        <v>301</v>
      </c>
      <c r="B16" s="18" t="s">
        <v>390</v>
      </c>
      <c r="C16" s="19" t="s">
        <v>382</v>
      </c>
      <c r="D16" s="18" t="s">
        <v>391</v>
      </c>
      <c r="E16" s="18" t="s">
        <v>392</v>
      </c>
      <c r="F16" s="19" t="n">
        <f aca="false">COUNTIF('Casos de prueba'!$C$2:$C$500,A16)</f>
        <v>7</v>
      </c>
      <c r="G16" s="19" t="n">
        <f aca="false">COUNTIFS('Casos de prueba'!$C$2:$C$500,A16,'Casos de prueba'!$N$2:$N$500,"Aprobado")+COUNTIFS('Casos de prueba'!$C$2:$C$500,A16,'Casos de prueba'!$N$2:$N$500,"Fallido")</f>
        <v>0</v>
      </c>
      <c r="H16" s="19" t="n">
        <f aca="false">COUNTIFS('Casos de prueba'!$C$2:$C$500,A16,'Casos de prueba'!$N$2:$N$500,"Fallido")</f>
        <v>0</v>
      </c>
      <c r="I16" s="19" t="str">
        <f aca="false">IF(G16&gt;0,"Cubierto","Pendiente")</f>
        <v>Pendiente</v>
      </c>
      <c r="J16" s="19" t="str">
        <f aca="false">IF(G16=0,"Sin ejecutar",IF(H16&gt;0,"Con fallas","OK"))</f>
        <v>Sin ejecutar</v>
      </c>
    </row>
    <row r="17" customFormat="false" ht="27.75" hidden="false" customHeight="true" outlineLevel="0" collapsed="false">
      <c r="A17" s="17" t="s">
        <v>318</v>
      </c>
      <c r="B17" s="18" t="s">
        <v>393</v>
      </c>
      <c r="C17" s="19" t="s">
        <v>382</v>
      </c>
      <c r="D17" s="18" t="s">
        <v>391</v>
      </c>
      <c r="E17" s="18" t="s">
        <v>317</v>
      </c>
      <c r="F17" s="19" t="n">
        <f aca="false">COUNTIF('Casos de prueba'!$C$2:$C$500,A17)</f>
        <v>1</v>
      </c>
      <c r="G17" s="19" t="n">
        <f aca="false">COUNTIFS('Casos de prueba'!$C$2:$C$500,A17,'Casos de prueba'!$N$2:$N$500,"Aprobado")+COUNTIFS('Casos de prueba'!$C$2:$C$500,A17,'Casos de prueba'!$N$2:$N$500,"Fallido")</f>
        <v>0</v>
      </c>
      <c r="H17" s="19" t="n">
        <f aca="false">COUNTIFS('Casos de prueba'!$C$2:$C$500,A17,'Casos de prueba'!$N$2:$N$500,"Fallido")</f>
        <v>0</v>
      </c>
      <c r="I17" s="19" t="str">
        <f aca="false">IF(G17&gt;0,"Cubierto","Pendiente")</f>
        <v>Pendiente</v>
      </c>
      <c r="J17" s="19" t="str">
        <f aca="false">IF(G17=0,"Sin ejecutar",IF(H17&gt;0,"Con fallas","OK"))</f>
        <v>Sin ejecutar</v>
      </c>
    </row>
    <row r="18" customFormat="false" ht="30.75" hidden="false" customHeight="true" outlineLevel="0" collapsed="false">
      <c r="A18" s="17" t="s">
        <v>344</v>
      </c>
      <c r="B18" s="18" t="s">
        <v>394</v>
      </c>
      <c r="C18" s="19" t="s">
        <v>382</v>
      </c>
      <c r="D18" s="18" t="s">
        <v>391</v>
      </c>
      <c r="E18" s="18" t="s">
        <v>395</v>
      </c>
      <c r="F18" s="19" t="n">
        <f aca="false">COUNTIF('Casos de prueba'!$C$2:$C$500,A18)</f>
        <v>2</v>
      </c>
      <c r="G18" s="19" t="n">
        <f aca="false">COUNTIFS('Casos de prueba'!$C$2:$C$500,A18,'Casos de prueba'!$N$2:$N$500,"Aprobado")+COUNTIFS('Casos de prueba'!$C$2:$C$500,A18,'Casos de prueba'!$N$2:$N$500,"Fallido")</f>
        <v>0</v>
      </c>
      <c r="H18" s="19" t="n">
        <f aca="false">COUNTIFS('Casos de prueba'!$C$2:$C$500,A18,'Casos de prueba'!$N$2:$N$500,"Fallido")</f>
        <v>0</v>
      </c>
      <c r="I18" s="19" t="str">
        <f aca="false">IF(G18&gt;0,"Cubierto","Pendiente")</f>
        <v>Pendiente</v>
      </c>
      <c r="J18" s="19" t="str">
        <f aca="false">IF(G18=0,"Sin ejecutar",IF(H18&gt;0,"Con fallas","OK"))</f>
        <v>Sin ejecutar</v>
      </c>
    </row>
    <row r="20" customFormat="false" ht="15" hidden="false" customHeight="false" outlineLevel="0" collapsed="false">
      <c r="A20" s="2" t="s">
        <v>396</v>
      </c>
    </row>
    <row r="21" customFormat="false" ht="15" hidden="false" customHeight="false" outlineLevel="0" collapsed="false">
      <c r="A21" s="2" t="s">
        <v>397</v>
      </c>
    </row>
  </sheetData>
  <conditionalFormatting sqref="I2:I18">
    <cfRule type="expression" priority="2" aboveAverage="0" equalAverage="0" bottom="0" percent="0" rank="0" text="" dxfId="0">
      <formula>$I2="Cubierto"</formula>
    </cfRule>
  </conditionalFormatting>
  <conditionalFormatting sqref="J2:J18">
    <cfRule type="expression" priority="3" aboveAverage="0" equalAverage="0" bottom="0" percent="0" rank="0" text="" dxfId="10">
      <formula>$J2="Con fallas"</formula>
    </cfRule>
    <cfRule type="expression" priority="4" aboveAverage="0" equalAverage="0" bottom="0" percent="0" rank="0" text="" dxfId="0">
      <formula>$J2="OK"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3A48"/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34"/>
  </cols>
  <sheetData>
    <row r="1" customFormat="false" ht="31.5" hidden="false" customHeight="true" outlineLevel="0" collapsed="false">
      <c r="A1" s="16" t="s">
        <v>47</v>
      </c>
      <c r="B1" s="16" t="s">
        <v>49</v>
      </c>
      <c r="C1" s="16" t="s">
        <v>20</v>
      </c>
      <c r="D1" s="16" t="s">
        <v>50</v>
      </c>
      <c r="E1" s="16" t="s">
        <v>398</v>
      </c>
      <c r="F1" s="16" t="s">
        <v>399</v>
      </c>
      <c r="G1" s="16" t="s">
        <v>55</v>
      </c>
      <c r="H1" s="16" t="s">
        <v>11</v>
      </c>
      <c r="I1" s="16" t="s">
        <v>61</v>
      </c>
      <c r="J1" s="16" t="s">
        <v>400</v>
      </c>
      <c r="K1" s="16" t="s">
        <v>401</v>
      </c>
      <c r="L1" s="16" t="s">
        <v>402</v>
      </c>
    </row>
    <row r="2" customFormat="false" ht="30" hidden="false" customHeight="true" outlineLevel="0" collapsed="false">
      <c r="A2" s="21"/>
      <c r="B2" s="20"/>
      <c r="C2" s="20"/>
      <c r="D2" s="20"/>
      <c r="E2" s="21"/>
      <c r="F2" s="21"/>
      <c r="G2" s="21"/>
      <c r="H2" s="20"/>
      <c r="I2" s="20"/>
      <c r="J2" s="21"/>
      <c r="K2" s="20"/>
      <c r="L2" s="20"/>
    </row>
    <row r="3" customFormat="false" ht="30" hidden="false" customHeight="true" outlineLevel="0" collapsed="false">
      <c r="A3" s="21"/>
      <c r="B3" s="20"/>
      <c r="C3" s="20"/>
      <c r="D3" s="20"/>
      <c r="E3" s="21"/>
      <c r="F3" s="21"/>
      <c r="G3" s="21"/>
      <c r="H3" s="20"/>
      <c r="I3" s="20"/>
      <c r="J3" s="21"/>
      <c r="K3" s="20"/>
      <c r="L3" s="20"/>
    </row>
    <row r="4" customFormat="false" ht="30" hidden="false" customHeight="true" outlineLevel="0" collapsed="false">
      <c r="A4" s="21"/>
      <c r="B4" s="20"/>
      <c r="C4" s="20"/>
      <c r="D4" s="20"/>
      <c r="E4" s="21"/>
      <c r="F4" s="21"/>
      <c r="G4" s="21"/>
      <c r="H4" s="20"/>
      <c r="I4" s="20"/>
      <c r="J4" s="21"/>
      <c r="K4" s="20"/>
      <c r="L4" s="20"/>
    </row>
    <row r="5" customFormat="false" ht="30" hidden="false" customHeight="true" outlineLevel="0" collapsed="false">
      <c r="A5" s="21"/>
      <c r="B5" s="20"/>
      <c r="C5" s="20"/>
      <c r="D5" s="20"/>
      <c r="E5" s="21"/>
      <c r="F5" s="21"/>
      <c r="G5" s="21"/>
      <c r="H5" s="20"/>
      <c r="I5" s="20"/>
      <c r="J5" s="21"/>
      <c r="K5" s="20"/>
      <c r="L5" s="20"/>
    </row>
    <row r="6" customFormat="false" ht="30" hidden="false" customHeight="true" outlineLevel="0" collapsed="false">
      <c r="A6" s="21"/>
      <c r="B6" s="20"/>
      <c r="C6" s="20"/>
      <c r="D6" s="20"/>
      <c r="E6" s="21"/>
      <c r="F6" s="21"/>
      <c r="G6" s="21"/>
      <c r="H6" s="20"/>
      <c r="I6" s="20"/>
      <c r="J6" s="21"/>
      <c r="K6" s="20"/>
      <c r="L6" s="20"/>
    </row>
    <row r="7" customFormat="false" ht="30" hidden="false" customHeight="true" outlineLevel="0" collapsed="false">
      <c r="A7" s="21"/>
      <c r="B7" s="20"/>
      <c r="C7" s="20"/>
      <c r="D7" s="20"/>
      <c r="E7" s="21"/>
      <c r="F7" s="21"/>
      <c r="G7" s="21"/>
      <c r="H7" s="20"/>
      <c r="I7" s="20"/>
      <c r="J7" s="21"/>
      <c r="K7" s="20"/>
      <c r="L7" s="20"/>
    </row>
    <row r="8" customFormat="false" ht="30" hidden="false" customHeight="true" outlineLevel="0" collapsed="false">
      <c r="A8" s="21"/>
      <c r="B8" s="20"/>
      <c r="C8" s="20"/>
      <c r="D8" s="20"/>
      <c r="E8" s="21"/>
      <c r="F8" s="21"/>
      <c r="G8" s="21"/>
      <c r="H8" s="20"/>
      <c r="I8" s="20"/>
      <c r="J8" s="21"/>
      <c r="K8" s="20"/>
      <c r="L8" s="20"/>
    </row>
    <row r="9" customFormat="false" ht="30" hidden="false" customHeight="true" outlineLevel="0" collapsed="false">
      <c r="A9" s="21"/>
      <c r="B9" s="20"/>
      <c r="C9" s="20"/>
      <c r="D9" s="20"/>
      <c r="E9" s="21"/>
      <c r="F9" s="21"/>
      <c r="G9" s="21"/>
      <c r="H9" s="20"/>
      <c r="I9" s="20"/>
      <c r="J9" s="21"/>
      <c r="K9" s="20"/>
      <c r="L9" s="20"/>
    </row>
    <row r="10" customFormat="false" ht="30" hidden="false" customHeight="true" outlineLevel="0" collapsed="false">
      <c r="A10" s="21"/>
      <c r="B10" s="20"/>
      <c r="C10" s="20"/>
      <c r="D10" s="20"/>
      <c r="E10" s="21"/>
      <c r="F10" s="21"/>
      <c r="G10" s="21"/>
      <c r="H10" s="20"/>
      <c r="I10" s="20"/>
      <c r="J10" s="21"/>
      <c r="K10" s="20"/>
      <c r="L10" s="20"/>
    </row>
    <row r="11" customFormat="false" ht="30" hidden="false" customHeight="true" outlineLevel="0" collapsed="false">
      <c r="A11" s="21"/>
      <c r="B11" s="20"/>
      <c r="C11" s="20"/>
      <c r="D11" s="20"/>
      <c r="E11" s="21"/>
      <c r="F11" s="21"/>
      <c r="G11" s="21"/>
      <c r="H11" s="20"/>
      <c r="I11" s="20"/>
      <c r="J11" s="21"/>
      <c r="K11" s="20"/>
      <c r="L11" s="20"/>
    </row>
    <row r="12" customFormat="false" ht="30" hidden="false" customHeight="true" outlineLevel="0" collapsed="false">
      <c r="A12" s="21"/>
      <c r="B12" s="20"/>
      <c r="C12" s="20"/>
      <c r="D12" s="20"/>
      <c r="E12" s="21"/>
      <c r="F12" s="21"/>
      <c r="G12" s="21"/>
      <c r="H12" s="20"/>
      <c r="I12" s="20"/>
      <c r="J12" s="21"/>
      <c r="K12" s="20"/>
      <c r="L12" s="20"/>
    </row>
    <row r="13" customFormat="false" ht="30" hidden="false" customHeight="true" outlineLevel="0" collapsed="false">
      <c r="A13" s="21"/>
      <c r="B13" s="20"/>
      <c r="C13" s="20"/>
      <c r="D13" s="20"/>
      <c r="E13" s="21"/>
      <c r="F13" s="21"/>
      <c r="G13" s="21"/>
      <c r="H13" s="20"/>
      <c r="I13" s="20"/>
      <c r="J13" s="21"/>
      <c r="K13" s="20"/>
      <c r="L13" s="20"/>
    </row>
    <row r="14" customFormat="false" ht="30" hidden="false" customHeight="true" outlineLevel="0" collapsed="false">
      <c r="A14" s="21"/>
      <c r="B14" s="20"/>
      <c r="C14" s="20"/>
      <c r="D14" s="20"/>
      <c r="E14" s="21"/>
      <c r="F14" s="21"/>
      <c r="G14" s="21"/>
      <c r="H14" s="20"/>
      <c r="I14" s="20"/>
      <c r="J14" s="21"/>
      <c r="K14" s="20"/>
      <c r="L14" s="20"/>
    </row>
    <row r="15" customFormat="false" ht="30" hidden="false" customHeight="true" outlineLevel="0" collapsed="false">
      <c r="A15" s="21"/>
      <c r="B15" s="20"/>
      <c r="C15" s="20"/>
      <c r="D15" s="20"/>
      <c r="E15" s="21"/>
      <c r="F15" s="21"/>
      <c r="G15" s="21"/>
      <c r="H15" s="20"/>
      <c r="I15" s="20"/>
      <c r="J15" s="21"/>
      <c r="K15" s="20"/>
      <c r="L15" s="20"/>
    </row>
    <row r="16" customFormat="false" ht="30" hidden="false" customHeight="true" outlineLevel="0" collapsed="false">
      <c r="A16" s="21"/>
      <c r="B16" s="20"/>
      <c r="C16" s="20"/>
      <c r="D16" s="20"/>
      <c r="E16" s="21"/>
      <c r="F16" s="21"/>
      <c r="G16" s="21"/>
      <c r="H16" s="20"/>
      <c r="I16" s="20"/>
      <c r="J16" s="21"/>
      <c r="K16" s="20"/>
      <c r="L16" s="20"/>
    </row>
    <row r="17" customFormat="false" ht="30" hidden="false" customHeight="true" outlineLevel="0" collapsed="false">
      <c r="A17" s="21"/>
      <c r="B17" s="20"/>
      <c r="C17" s="20"/>
      <c r="D17" s="20"/>
      <c r="E17" s="21"/>
      <c r="F17" s="21"/>
      <c r="G17" s="21"/>
      <c r="H17" s="20"/>
      <c r="I17" s="20"/>
      <c r="J17" s="21"/>
      <c r="K17" s="20"/>
      <c r="L17" s="20"/>
    </row>
    <row r="18" customFormat="false" ht="30" hidden="false" customHeight="true" outlineLevel="0" collapsed="false">
      <c r="A18" s="21"/>
      <c r="B18" s="20"/>
      <c r="C18" s="20"/>
      <c r="D18" s="20"/>
      <c r="E18" s="21"/>
      <c r="F18" s="21"/>
      <c r="G18" s="21"/>
      <c r="H18" s="20"/>
      <c r="I18" s="20"/>
      <c r="J18" s="21"/>
      <c r="K18" s="20"/>
      <c r="L18" s="20"/>
    </row>
    <row r="19" customFormat="false" ht="30" hidden="false" customHeight="true" outlineLevel="0" collapsed="false">
      <c r="A19" s="21"/>
      <c r="B19" s="20"/>
      <c r="C19" s="20"/>
      <c r="D19" s="20"/>
      <c r="E19" s="21"/>
      <c r="F19" s="21"/>
      <c r="G19" s="21"/>
      <c r="H19" s="20"/>
      <c r="I19" s="20"/>
      <c r="J19" s="21"/>
      <c r="K19" s="20"/>
      <c r="L19" s="20"/>
    </row>
    <row r="20" customFormat="false" ht="30" hidden="false" customHeight="true" outlineLevel="0" collapsed="false">
      <c r="A20" s="21"/>
      <c r="B20" s="20"/>
      <c r="C20" s="20"/>
      <c r="D20" s="20"/>
      <c r="E20" s="21"/>
      <c r="F20" s="21"/>
      <c r="G20" s="21"/>
      <c r="H20" s="20"/>
      <c r="I20" s="20"/>
      <c r="J20" s="21"/>
      <c r="K20" s="20"/>
      <c r="L20" s="20"/>
    </row>
    <row r="21" customFormat="false" ht="30" hidden="false" customHeight="true" outlineLevel="0" collapsed="false">
      <c r="A21" s="21"/>
      <c r="B21" s="20"/>
      <c r="C21" s="20"/>
      <c r="D21" s="20"/>
      <c r="E21" s="21"/>
      <c r="F21" s="21"/>
      <c r="G21" s="21"/>
      <c r="H21" s="20"/>
      <c r="I21" s="20"/>
      <c r="J21" s="21"/>
      <c r="K21" s="20"/>
      <c r="L21" s="20"/>
    </row>
    <row r="22" customFormat="false" ht="30" hidden="false" customHeight="true" outlineLevel="0" collapsed="false">
      <c r="A22" s="21"/>
      <c r="B22" s="20"/>
      <c r="C22" s="20"/>
      <c r="D22" s="20"/>
      <c r="E22" s="21"/>
      <c r="F22" s="21"/>
      <c r="G22" s="21"/>
      <c r="H22" s="20"/>
      <c r="I22" s="20"/>
      <c r="J22" s="21"/>
      <c r="K22" s="20"/>
      <c r="L22" s="20"/>
    </row>
    <row r="23" customFormat="false" ht="30" hidden="false" customHeight="true" outlineLevel="0" collapsed="false">
      <c r="A23" s="21"/>
      <c r="B23" s="20"/>
      <c r="C23" s="20"/>
      <c r="D23" s="20"/>
      <c r="E23" s="21"/>
      <c r="F23" s="21"/>
      <c r="G23" s="21"/>
      <c r="H23" s="20"/>
      <c r="I23" s="20"/>
      <c r="J23" s="21"/>
      <c r="K23" s="20"/>
      <c r="L23" s="20"/>
    </row>
    <row r="24" customFormat="false" ht="30" hidden="false" customHeight="true" outlineLevel="0" collapsed="false">
      <c r="A24" s="21"/>
      <c r="B24" s="20"/>
      <c r="C24" s="20"/>
      <c r="D24" s="20"/>
      <c r="E24" s="21"/>
      <c r="F24" s="21"/>
      <c r="G24" s="21"/>
      <c r="H24" s="20"/>
      <c r="I24" s="20"/>
      <c r="J24" s="21"/>
      <c r="K24" s="20"/>
      <c r="L24" s="20"/>
    </row>
    <row r="25" customFormat="false" ht="30" hidden="false" customHeight="true" outlineLevel="0" collapsed="false">
      <c r="A25" s="21"/>
      <c r="B25" s="20"/>
      <c r="C25" s="20"/>
      <c r="D25" s="20"/>
      <c r="E25" s="21"/>
      <c r="F25" s="21"/>
      <c r="G25" s="21"/>
      <c r="H25" s="20"/>
      <c r="I25" s="20"/>
      <c r="J25" s="21"/>
      <c r="K25" s="20"/>
      <c r="L25" s="20"/>
    </row>
    <row r="26" customFormat="false" ht="30" hidden="false" customHeight="true" outlineLevel="0" collapsed="false">
      <c r="A26" s="21"/>
      <c r="B26" s="20"/>
      <c r="C26" s="20"/>
      <c r="D26" s="20"/>
      <c r="E26" s="21"/>
      <c r="F26" s="21"/>
      <c r="G26" s="21"/>
      <c r="H26" s="20"/>
      <c r="I26" s="20"/>
      <c r="J26" s="21"/>
      <c r="K26" s="20"/>
      <c r="L26" s="20"/>
    </row>
    <row r="27" customFormat="false" ht="30" hidden="false" customHeight="true" outlineLevel="0" collapsed="false">
      <c r="A27" s="21"/>
      <c r="B27" s="20"/>
      <c r="C27" s="20"/>
      <c r="D27" s="20"/>
      <c r="E27" s="21"/>
      <c r="F27" s="21"/>
      <c r="G27" s="21"/>
      <c r="H27" s="20"/>
      <c r="I27" s="20"/>
      <c r="J27" s="21"/>
      <c r="K27" s="20"/>
      <c r="L27" s="20"/>
    </row>
    <row r="28" customFormat="false" ht="30" hidden="false" customHeight="true" outlineLevel="0" collapsed="false">
      <c r="A28" s="21"/>
      <c r="B28" s="20"/>
      <c r="C28" s="20"/>
      <c r="D28" s="20"/>
      <c r="E28" s="21"/>
      <c r="F28" s="21"/>
      <c r="G28" s="21"/>
      <c r="H28" s="20"/>
      <c r="I28" s="20"/>
      <c r="J28" s="21"/>
      <c r="K28" s="20"/>
      <c r="L28" s="20"/>
    </row>
    <row r="29" customFormat="false" ht="30" hidden="false" customHeight="true" outlineLevel="0" collapsed="false">
      <c r="A29" s="21"/>
      <c r="B29" s="20"/>
      <c r="C29" s="20"/>
      <c r="D29" s="20"/>
      <c r="E29" s="21"/>
      <c r="F29" s="21"/>
      <c r="G29" s="21"/>
      <c r="H29" s="20"/>
      <c r="I29" s="20"/>
      <c r="J29" s="21"/>
      <c r="K29" s="20"/>
      <c r="L29" s="20"/>
    </row>
    <row r="30" customFormat="false" ht="30" hidden="false" customHeight="true" outlineLevel="0" collapsed="false">
      <c r="A30" s="21"/>
      <c r="B30" s="20"/>
      <c r="C30" s="20"/>
      <c r="D30" s="20"/>
      <c r="E30" s="21"/>
      <c r="F30" s="21"/>
      <c r="G30" s="21"/>
      <c r="H30" s="20"/>
      <c r="I30" s="20"/>
      <c r="J30" s="21"/>
      <c r="K30" s="20"/>
      <c r="L30" s="20"/>
    </row>
    <row r="31" customFormat="false" ht="30" hidden="false" customHeight="true" outlineLevel="0" collapsed="false">
      <c r="A31" s="21"/>
      <c r="B31" s="20"/>
      <c r="C31" s="20"/>
      <c r="D31" s="20"/>
      <c r="E31" s="21"/>
      <c r="F31" s="21"/>
      <c r="G31" s="21"/>
      <c r="H31" s="20"/>
      <c r="I31" s="20"/>
      <c r="J31" s="21"/>
      <c r="K31" s="20"/>
      <c r="L31" s="20"/>
    </row>
    <row r="32" customFormat="false" ht="30" hidden="false" customHeight="true" outlineLevel="0" collapsed="false">
      <c r="A32" s="21"/>
      <c r="B32" s="20"/>
      <c r="C32" s="20"/>
      <c r="D32" s="20"/>
      <c r="E32" s="21"/>
      <c r="F32" s="21"/>
      <c r="G32" s="21"/>
      <c r="H32" s="20"/>
      <c r="I32" s="20"/>
      <c r="J32" s="21"/>
      <c r="K32" s="20"/>
      <c r="L32" s="20"/>
    </row>
    <row r="33" customFormat="false" ht="30" hidden="false" customHeight="true" outlineLevel="0" collapsed="false">
      <c r="A33" s="21"/>
      <c r="B33" s="20"/>
      <c r="C33" s="20"/>
      <c r="D33" s="20"/>
      <c r="E33" s="21"/>
      <c r="F33" s="21"/>
      <c r="G33" s="21"/>
      <c r="H33" s="20"/>
      <c r="I33" s="20"/>
      <c r="J33" s="21"/>
      <c r="K33" s="20"/>
      <c r="L33" s="20"/>
    </row>
    <row r="34" customFormat="false" ht="30" hidden="false" customHeight="true" outlineLevel="0" collapsed="false">
      <c r="A34" s="21"/>
      <c r="B34" s="20"/>
      <c r="C34" s="20"/>
      <c r="D34" s="20"/>
      <c r="E34" s="21"/>
      <c r="F34" s="21"/>
      <c r="G34" s="21"/>
      <c r="H34" s="20"/>
      <c r="I34" s="20"/>
      <c r="J34" s="21"/>
      <c r="K34" s="20"/>
      <c r="L34" s="20"/>
    </row>
    <row r="35" customFormat="false" ht="30" hidden="false" customHeight="true" outlineLevel="0" collapsed="false">
      <c r="A35" s="21"/>
      <c r="B35" s="20"/>
      <c r="C35" s="20"/>
      <c r="D35" s="20"/>
      <c r="E35" s="21"/>
      <c r="F35" s="21"/>
      <c r="G35" s="21"/>
      <c r="H35" s="20"/>
      <c r="I35" s="20"/>
      <c r="J35" s="21"/>
      <c r="K35" s="20"/>
      <c r="L35" s="20"/>
    </row>
    <row r="36" customFormat="false" ht="30" hidden="false" customHeight="true" outlineLevel="0" collapsed="false">
      <c r="A36" s="21"/>
      <c r="B36" s="20"/>
      <c r="C36" s="20"/>
      <c r="D36" s="20"/>
      <c r="E36" s="21"/>
      <c r="F36" s="21"/>
      <c r="G36" s="21"/>
      <c r="H36" s="20"/>
      <c r="I36" s="20"/>
      <c r="J36" s="21"/>
      <c r="K36" s="20"/>
      <c r="L36" s="20"/>
    </row>
    <row r="37" customFormat="false" ht="30" hidden="false" customHeight="true" outlineLevel="0" collapsed="false">
      <c r="A37" s="21"/>
      <c r="B37" s="20"/>
      <c r="C37" s="20"/>
      <c r="D37" s="20"/>
      <c r="E37" s="21"/>
      <c r="F37" s="21"/>
      <c r="G37" s="21"/>
      <c r="H37" s="20"/>
      <c r="I37" s="20"/>
      <c r="J37" s="21"/>
      <c r="K37" s="20"/>
      <c r="L37" s="20"/>
    </row>
    <row r="38" customFormat="false" ht="30" hidden="false" customHeight="true" outlineLevel="0" collapsed="false">
      <c r="A38" s="21"/>
      <c r="B38" s="20"/>
      <c r="C38" s="20"/>
      <c r="D38" s="20"/>
      <c r="E38" s="21"/>
      <c r="F38" s="21"/>
      <c r="G38" s="21"/>
      <c r="H38" s="20"/>
      <c r="I38" s="20"/>
      <c r="J38" s="21"/>
      <c r="K38" s="20"/>
      <c r="L38" s="20"/>
    </row>
    <row r="39" customFormat="false" ht="30" hidden="false" customHeight="true" outlineLevel="0" collapsed="false">
      <c r="A39" s="21"/>
      <c r="B39" s="20"/>
      <c r="C39" s="20"/>
      <c r="D39" s="20"/>
      <c r="E39" s="21"/>
      <c r="F39" s="21"/>
      <c r="G39" s="21"/>
      <c r="H39" s="20"/>
      <c r="I39" s="20"/>
      <c r="J39" s="21"/>
      <c r="K39" s="20"/>
      <c r="L39" s="20"/>
    </row>
    <row r="40" customFormat="false" ht="30" hidden="false" customHeight="true" outlineLevel="0" collapsed="false">
      <c r="A40" s="21"/>
      <c r="B40" s="20"/>
      <c r="C40" s="20"/>
      <c r="D40" s="20"/>
      <c r="E40" s="21"/>
      <c r="F40" s="21"/>
      <c r="G40" s="21"/>
      <c r="H40" s="20"/>
      <c r="I40" s="20"/>
      <c r="J40" s="21"/>
      <c r="K40" s="20"/>
      <c r="L40" s="20"/>
    </row>
    <row r="41" customFormat="false" ht="30" hidden="false" customHeight="true" outlineLevel="0" collapsed="false">
      <c r="A41" s="21"/>
      <c r="B41" s="20"/>
      <c r="C41" s="20"/>
      <c r="D41" s="20"/>
      <c r="E41" s="21"/>
      <c r="F41" s="21"/>
      <c r="G41" s="21"/>
      <c r="H41" s="20"/>
      <c r="I41" s="20"/>
      <c r="J41" s="21"/>
      <c r="K41" s="20"/>
      <c r="L41" s="20"/>
    </row>
    <row r="42" customFormat="false" ht="30" hidden="false" customHeight="true" outlineLevel="0" collapsed="false">
      <c r="A42" s="21"/>
      <c r="B42" s="20"/>
      <c r="C42" s="20"/>
      <c r="D42" s="20"/>
      <c r="E42" s="21"/>
      <c r="F42" s="21"/>
      <c r="G42" s="21"/>
      <c r="H42" s="20"/>
      <c r="I42" s="20"/>
      <c r="J42" s="21"/>
      <c r="K42" s="20"/>
      <c r="L42" s="20"/>
    </row>
    <row r="43" customFormat="false" ht="30" hidden="false" customHeight="true" outlineLevel="0" collapsed="false">
      <c r="A43" s="21"/>
      <c r="B43" s="20"/>
      <c r="C43" s="20"/>
      <c r="D43" s="20"/>
      <c r="E43" s="21"/>
      <c r="F43" s="21"/>
      <c r="G43" s="21"/>
      <c r="H43" s="20"/>
      <c r="I43" s="20"/>
      <c r="J43" s="21"/>
      <c r="K43" s="20"/>
      <c r="L43" s="20"/>
    </row>
    <row r="44" customFormat="false" ht="30" hidden="false" customHeight="true" outlineLevel="0" collapsed="false">
      <c r="A44" s="21"/>
      <c r="B44" s="20"/>
      <c r="C44" s="20"/>
      <c r="D44" s="20"/>
      <c r="E44" s="21"/>
      <c r="F44" s="21"/>
      <c r="G44" s="21"/>
      <c r="H44" s="20"/>
      <c r="I44" s="20"/>
      <c r="J44" s="21"/>
      <c r="K44" s="20"/>
      <c r="L44" s="20"/>
    </row>
    <row r="45" customFormat="false" ht="30" hidden="false" customHeight="true" outlineLevel="0" collapsed="false">
      <c r="A45" s="21"/>
      <c r="B45" s="20"/>
      <c r="C45" s="20"/>
      <c r="D45" s="20"/>
      <c r="E45" s="21"/>
      <c r="F45" s="21"/>
      <c r="G45" s="21"/>
      <c r="H45" s="20"/>
      <c r="I45" s="20"/>
      <c r="J45" s="21"/>
      <c r="K45" s="20"/>
      <c r="L45" s="20"/>
    </row>
    <row r="46" customFormat="false" ht="30" hidden="false" customHeight="true" outlineLevel="0" collapsed="false">
      <c r="A46" s="21"/>
      <c r="B46" s="20"/>
      <c r="C46" s="20"/>
      <c r="D46" s="20"/>
      <c r="E46" s="21"/>
      <c r="F46" s="21"/>
      <c r="G46" s="21"/>
      <c r="H46" s="20"/>
      <c r="I46" s="20"/>
      <c r="J46" s="21"/>
      <c r="K46" s="20"/>
      <c r="L46" s="20"/>
    </row>
    <row r="47" customFormat="false" ht="30" hidden="false" customHeight="true" outlineLevel="0" collapsed="false">
      <c r="A47" s="21"/>
      <c r="B47" s="20"/>
      <c r="C47" s="20"/>
      <c r="D47" s="20"/>
      <c r="E47" s="21"/>
      <c r="F47" s="21"/>
      <c r="G47" s="21"/>
      <c r="H47" s="20"/>
      <c r="I47" s="20"/>
      <c r="J47" s="21"/>
      <c r="K47" s="20"/>
      <c r="L47" s="20"/>
    </row>
    <row r="48" customFormat="false" ht="30" hidden="false" customHeight="true" outlineLevel="0" collapsed="false">
      <c r="A48" s="21"/>
      <c r="B48" s="20"/>
      <c r="C48" s="20"/>
      <c r="D48" s="20"/>
      <c r="E48" s="21"/>
      <c r="F48" s="21"/>
      <c r="G48" s="21"/>
      <c r="H48" s="20"/>
      <c r="I48" s="20"/>
      <c r="J48" s="21"/>
      <c r="K48" s="20"/>
      <c r="L48" s="20"/>
    </row>
    <row r="49" customFormat="false" ht="30" hidden="false" customHeight="true" outlineLevel="0" collapsed="false">
      <c r="A49" s="21"/>
      <c r="B49" s="20"/>
      <c r="C49" s="20"/>
      <c r="D49" s="20"/>
      <c r="E49" s="21"/>
      <c r="F49" s="21"/>
      <c r="G49" s="21"/>
      <c r="H49" s="20"/>
      <c r="I49" s="20"/>
      <c r="J49" s="21"/>
      <c r="K49" s="20"/>
      <c r="L49" s="20"/>
    </row>
    <row r="50" customFormat="false" ht="30" hidden="false" customHeight="true" outlineLevel="0" collapsed="false">
      <c r="A50" s="21"/>
      <c r="B50" s="20"/>
      <c r="C50" s="20"/>
      <c r="D50" s="20"/>
      <c r="E50" s="21"/>
      <c r="F50" s="21"/>
      <c r="G50" s="21"/>
      <c r="H50" s="20"/>
      <c r="I50" s="20"/>
      <c r="J50" s="21"/>
      <c r="K50" s="20"/>
      <c r="L50" s="20"/>
    </row>
    <row r="51" customFormat="false" ht="30" hidden="false" customHeight="true" outlineLevel="0" collapsed="false">
      <c r="A51" s="21"/>
      <c r="B51" s="20"/>
      <c r="C51" s="20"/>
      <c r="D51" s="20"/>
      <c r="E51" s="21"/>
      <c r="F51" s="21"/>
      <c r="G51" s="21"/>
      <c r="H51" s="20"/>
      <c r="I51" s="20"/>
      <c r="J51" s="21"/>
      <c r="K51" s="20"/>
      <c r="L51" s="20"/>
    </row>
    <row r="52" customFormat="false" ht="30" hidden="false" customHeight="true" outlineLevel="0" collapsed="false">
      <c r="A52" s="21"/>
      <c r="B52" s="20"/>
      <c r="C52" s="20"/>
      <c r="D52" s="20"/>
      <c r="E52" s="21"/>
      <c r="F52" s="21"/>
      <c r="G52" s="21"/>
      <c r="H52" s="20"/>
      <c r="I52" s="20"/>
      <c r="J52" s="21"/>
      <c r="K52" s="20"/>
      <c r="L52" s="20"/>
    </row>
    <row r="53" customFormat="false" ht="30" hidden="false" customHeight="true" outlineLevel="0" collapsed="false">
      <c r="A53" s="21"/>
      <c r="B53" s="20"/>
      <c r="C53" s="20"/>
      <c r="D53" s="20"/>
      <c r="E53" s="21"/>
      <c r="F53" s="21"/>
      <c r="G53" s="21"/>
      <c r="H53" s="20"/>
      <c r="I53" s="20"/>
      <c r="J53" s="21"/>
      <c r="K53" s="20"/>
      <c r="L53" s="20"/>
    </row>
    <row r="54" customFormat="false" ht="30" hidden="false" customHeight="true" outlineLevel="0" collapsed="false">
      <c r="A54" s="21"/>
      <c r="B54" s="20"/>
      <c r="C54" s="20"/>
      <c r="D54" s="20"/>
      <c r="E54" s="21"/>
      <c r="F54" s="21"/>
      <c r="G54" s="21"/>
      <c r="H54" s="20"/>
      <c r="I54" s="20"/>
      <c r="J54" s="21"/>
      <c r="K54" s="20"/>
      <c r="L54" s="20"/>
    </row>
    <row r="55" customFormat="false" ht="30" hidden="false" customHeight="true" outlineLevel="0" collapsed="false">
      <c r="A55" s="21"/>
      <c r="B55" s="20"/>
      <c r="C55" s="20"/>
      <c r="D55" s="20"/>
      <c r="E55" s="21"/>
      <c r="F55" s="21"/>
      <c r="G55" s="21"/>
      <c r="H55" s="20"/>
      <c r="I55" s="20"/>
      <c r="J55" s="21"/>
      <c r="K55" s="20"/>
      <c r="L55" s="20"/>
    </row>
    <row r="56" customFormat="false" ht="30" hidden="false" customHeight="true" outlineLevel="0" collapsed="false">
      <c r="A56" s="21"/>
      <c r="B56" s="20"/>
      <c r="C56" s="20"/>
      <c r="D56" s="20"/>
      <c r="E56" s="21"/>
      <c r="F56" s="21"/>
      <c r="G56" s="21"/>
      <c r="H56" s="20"/>
      <c r="I56" s="20"/>
      <c r="J56" s="21"/>
      <c r="K56" s="20"/>
      <c r="L56" s="20"/>
    </row>
    <row r="57" customFormat="false" ht="30" hidden="false" customHeight="true" outlineLevel="0" collapsed="false">
      <c r="A57" s="21"/>
      <c r="B57" s="20"/>
      <c r="C57" s="20"/>
      <c r="D57" s="20"/>
      <c r="E57" s="21"/>
      <c r="F57" s="21"/>
      <c r="G57" s="21"/>
      <c r="H57" s="20"/>
      <c r="I57" s="20"/>
      <c r="J57" s="21"/>
      <c r="K57" s="20"/>
      <c r="L57" s="20"/>
    </row>
    <row r="58" customFormat="false" ht="30" hidden="false" customHeight="true" outlineLevel="0" collapsed="false">
      <c r="A58" s="21"/>
      <c r="B58" s="20"/>
      <c r="C58" s="20"/>
      <c r="D58" s="20"/>
      <c r="E58" s="21"/>
      <c r="F58" s="21"/>
      <c r="G58" s="21"/>
      <c r="H58" s="20"/>
      <c r="I58" s="20"/>
      <c r="J58" s="21"/>
      <c r="K58" s="20"/>
      <c r="L58" s="20"/>
    </row>
    <row r="59" customFormat="false" ht="30" hidden="false" customHeight="true" outlineLevel="0" collapsed="false">
      <c r="A59" s="21"/>
      <c r="B59" s="20"/>
      <c r="C59" s="20"/>
      <c r="D59" s="20"/>
      <c r="E59" s="21"/>
      <c r="F59" s="21"/>
      <c r="G59" s="21"/>
      <c r="H59" s="20"/>
      <c r="I59" s="20"/>
      <c r="J59" s="21"/>
      <c r="K59" s="20"/>
      <c r="L59" s="20"/>
    </row>
    <row r="60" customFormat="false" ht="30" hidden="false" customHeight="true" outlineLevel="0" collapsed="false">
      <c r="A60" s="21"/>
      <c r="B60" s="20"/>
      <c r="C60" s="20"/>
      <c r="D60" s="20"/>
      <c r="E60" s="21"/>
      <c r="F60" s="21"/>
      <c r="G60" s="21"/>
      <c r="H60" s="20"/>
      <c r="I60" s="20"/>
      <c r="J60" s="21"/>
      <c r="K60" s="20"/>
      <c r="L60" s="20"/>
    </row>
    <row r="61" customFormat="false" ht="30" hidden="false" customHeight="true" outlineLevel="0" collapsed="false">
      <c r="A61" s="21"/>
      <c r="B61" s="20"/>
      <c r="C61" s="20"/>
      <c r="D61" s="20"/>
      <c r="E61" s="21"/>
      <c r="F61" s="21"/>
      <c r="G61" s="21"/>
      <c r="H61" s="20"/>
      <c r="I61" s="20"/>
      <c r="J61" s="21"/>
      <c r="K61" s="20"/>
      <c r="L61" s="20"/>
    </row>
  </sheetData>
  <conditionalFormatting sqref="F2:F61">
    <cfRule type="expression" priority="2" aboveAverage="0" equalAverage="0" bottom="0" percent="0" rank="0" text="" dxfId="12">
      <formula>$F2="Crítica"</formula>
    </cfRule>
    <cfRule type="expression" priority="3" aboveAverage="0" equalAverage="0" bottom="0" percent="0" rank="0" text="" dxfId="10">
      <formula>$F2="Alta"</formula>
    </cfRule>
    <cfRule type="expression" priority="4" aboveAverage="0" equalAverage="0" bottom="0" percent="0" rank="0" text="" dxfId="1">
      <formula>$F2="Media"</formula>
    </cfRule>
    <cfRule type="expression" priority="5" aboveAverage="0" equalAverage="0" bottom="0" percent="0" rank="0" text="" dxfId="11">
      <formula>$F2="Baja"</formula>
    </cfRule>
  </conditionalFormatting>
  <dataValidations count="6">
    <dataValidation allowBlank="true" errorStyle="stop" operator="between" showDropDown="false" showErrorMessage="false" showInputMessage="false" sqref="F2:F61" type="list">
      <formula1>"Crítica,Alta,Media,Baja"</formula1>
      <formula2>0</formula2>
    </dataValidation>
    <dataValidation allowBlank="true" errorStyle="stop" operator="between" showDropDown="false" showErrorMessage="false" showInputMessage="false" sqref="G2:G61" type="list">
      <formula1>"Alta,Media,Baja"</formula1>
      <formula2>0</formula2>
    </dataValidation>
    <dataValidation allowBlank="true" errorStyle="stop" operator="between" showDropDown="false" showErrorMessage="false" showInputMessage="false" sqref="H2:H61" type="list">
      <formula1>"Nuevo,Confirmado,No reproducible"</formula1>
      <formula2>0</formula2>
    </dataValidation>
    <dataValidation allowBlank="true" errorStyle="stop" operator="between" showDropDown="false" showErrorMessage="false" showInputMessage="false" sqref="C2:C61" type="list">
      <formula1>"Login,Catálogo,Detalle,Carrito,Checkout,Menú,Flujo completo"</formula1>
      <formula2>0</formula2>
    </dataValidation>
    <dataValidation allowBlank="true" errorStyle="stop" operator="between" showDropDown="false" showErrorMessage="false" showInputMessage="false" sqref="D2:D61" type="list">
      <formula1>"standard_user,locked_out_user,problem_user,performance_glitch_user,error_user,visual_user"</formula1>
      <formula2>0</formula2>
    </dataValidation>
    <dataValidation allowBlank="true" errorStyle="stop" operator="between" showDropDown="false" showErrorMessage="false" showInputMessage="false" sqref="I2:I61" type="list">
      <formula1>"Chrome,Firefox,Chrome (vista móvil)"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791F"/>
    <pageSetUpPr fitToPage="tru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403</v>
      </c>
    </row>
    <row r="3" customFormat="false" ht="15" hidden="false" customHeight="false" outlineLevel="0" collapsed="false">
      <c r="A3" s="9" t="s">
        <v>404</v>
      </c>
      <c r="B3" s="4"/>
    </row>
    <row r="4" customFormat="false" ht="30" hidden="false" customHeight="true" outlineLevel="0" collapsed="false">
      <c r="A4" s="22" t="s">
        <v>405</v>
      </c>
      <c r="B4" s="23" t="s">
        <v>406</v>
      </c>
    </row>
    <row r="5" customFormat="false" ht="30" hidden="false" customHeight="true" outlineLevel="0" collapsed="false">
      <c r="A5" s="22" t="s">
        <v>407</v>
      </c>
      <c r="B5" s="23" t="s">
        <v>408</v>
      </c>
    </row>
    <row r="6" customFormat="false" ht="15.75" hidden="false" customHeight="true" outlineLevel="0" collapsed="false">
      <c r="A6" s="22" t="s">
        <v>409</v>
      </c>
      <c r="B6" s="23" t="s">
        <v>410</v>
      </c>
    </row>
    <row r="7" customFormat="false" ht="30" hidden="false" customHeight="true" outlineLevel="0" collapsed="false">
      <c r="A7" s="22" t="s">
        <v>23</v>
      </c>
      <c r="B7" s="23" t="s">
        <v>411</v>
      </c>
    </row>
    <row r="8" customFormat="false" ht="15" hidden="false" customHeight="false" outlineLevel="0" collapsed="false">
      <c r="A8" s="22"/>
      <c r="B8" s="23"/>
    </row>
    <row r="9" customFormat="false" ht="15" hidden="false" customHeight="false" outlineLevel="0" collapsed="false">
      <c r="A9" s="9" t="s">
        <v>412</v>
      </c>
      <c r="B9" s="4"/>
    </row>
    <row r="10" customFormat="false" ht="30" hidden="false" customHeight="true" outlineLevel="0" collapsed="false">
      <c r="A10" s="22" t="s">
        <v>413</v>
      </c>
      <c r="B10" s="23" t="s">
        <v>414</v>
      </c>
    </row>
    <row r="11" customFormat="false" ht="15.75" hidden="false" customHeight="true" outlineLevel="0" collapsed="false">
      <c r="A11" s="22" t="s">
        <v>415</v>
      </c>
      <c r="B11" s="23" t="s">
        <v>416</v>
      </c>
    </row>
    <row r="12" customFormat="false" ht="15.75" hidden="false" customHeight="true" outlineLevel="0" collapsed="false">
      <c r="A12" s="22" t="s">
        <v>417</v>
      </c>
      <c r="B12" s="23" t="s">
        <v>418</v>
      </c>
    </row>
    <row r="13" customFormat="false" ht="30" hidden="false" customHeight="true" outlineLevel="0" collapsed="false">
      <c r="A13" s="22" t="s">
        <v>419</v>
      </c>
      <c r="B13" s="23" t="s">
        <v>420</v>
      </c>
    </row>
    <row r="14" customFormat="false" ht="30" hidden="false" customHeight="true" outlineLevel="0" collapsed="false">
      <c r="A14" s="22" t="s">
        <v>421</v>
      </c>
      <c r="B14" s="23" t="s">
        <v>422</v>
      </c>
    </row>
    <row r="15" customFormat="false" ht="15" hidden="false" customHeight="false" outlineLevel="0" collapsed="false">
      <c r="A15" s="22"/>
      <c r="B15" s="23"/>
    </row>
    <row r="16" customFormat="false" ht="15" hidden="false" customHeight="false" outlineLevel="0" collapsed="false">
      <c r="A16" s="9" t="s">
        <v>423</v>
      </c>
      <c r="B16" s="4"/>
    </row>
    <row r="17" customFormat="false" ht="15.75" hidden="false" customHeight="true" outlineLevel="0" collapsed="false">
      <c r="A17" s="22" t="s">
        <v>424</v>
      </c>
      <c r="B17" s="23" t="s">
        <v>425</v>
      </c>
    </row>
    <row r="18" customFormat="false" ht="15.75" hidden="false" customHeight="true" outlineLevel="0" collapsed="false">
      <c r="A18" s="22" t="s">
        <v>426</v>
      </c>
      <c r="B18" s="23" t="s">
        <v>427</v>
      </c>
    </row>
    <row r="19" customFormat="false" ht="15.75" hidden="false" customHeight="true" outlineLevel="0" collapsed="false">
      <c r="A19" s="22" t="s">
        <v>428</v>
      </c>
      <c r="B19" s="23" t="s">
        <v>429</v>
      </c>
    </row>
    <row r="20" customFormat="false" ht="15.75" hidden="false" customHeight="true" outlineLevel="0" collapsed="false">
      <c r="A20" s="22" t="s">
        <v>72</v>
      </c>
      <c r="B20" s="23" t="s">
        <v>430</v>
      </c>
    </row>
    <row r="21" customFormat="false" ht="15" hidden="false" customHeight="false" outlineLevel="0" collapsed="false">
      <c r="A21" s="22"/>
      <c r="B21" s="23"/>
    </row>
    <row r="22" customFormat="false" ht="15" hidden="false" customHeight="false" outlineLevel="0" collapsed="false">
      <c r="A22" s="9" t="s">
        <v>431</v>
      </c>
      <c r="B22" s="4"/>
    </row>
    <row r="23" customFormat="false" ht="15.75" hidden="false" customHeight="true" outlineLevel="0" collapsed="false">
      <c r="A23" s="22" t="s">
        <v>33</v>
      </c>
      <c r="B23" s="23" t="s">
        <v>432</v>
      </c>
    </row>
    <row r="24" customFormat="false" ht="15.75" hidden="false" customHeight="true" outlineLevel="0" collapsed="false">
      <c r="A24" s="22" t="s">
        <v>34</v>
      </c>
      <c r="B24" s="23" t="s">
        <v>433</v>
      </c>
    </row>
    <row r="25" customFormat="false" ht="15.75" hidden="false" customHeight="true" outlineLevel="0" collapsed="false">
      <c r="A25" s="22" t="s">
        <v>35</v>
      </c>
      <c r="B25" s="23" t="s">
        <v>434</v>
      </c>
    </row>
    <row r="26" customFormat="false" ht="15.75" hidden="false" customHeight="true" outlineLevel="0" collapsed="false">
      <c r="A26" s="22" t="s">
        <v>36</v>
      </c>
      <c r="B26" s="23" t="s">
        <v>435</v>
      </c>
    </row>
    <row r="27" customFormat="false" ht="15" hidden="false" customHeight="false" outlineLevel="0" collapsed="false">
      <c r="A27" s="22"/>
      <c r="B27" s="23"/>
    </row>
    <row r="28" customFormat="false" ht="15" hidden="false" customHeight="false" outlineLevel="0" collapsed="false">
      <c r="A28" s="9" t="s">
        <v>436</v>
      </c>
      <c r="B28" s="4"/>
    </row>
    <row r="29" customFormat="false" ht="57.75" hidden="false" customHeight="true" outlineLevel="0" collapsed="false">
      <c r="A29" s="22" t="s">
        <v>437</v>
      </c>
      <c r="B29" s="23" t="s">
        <v>438</v>
      </c>
    </row>
    <row r="30" customFormat="false" ht="15" hidden="false" customHeight="false" outlineLevel="0" collapsed="false">
      <c r="A30" s="22"/>
      <c r="B30" s="23"/>
    </row>
    <row r="31" customFormat="false" ht="15" hidden="false" customHeight="false" outlineLevel="0" collapsed="false">
      <c r="A31" s="9" t="s">
        <v>439</v>
      </c>
      <c r="B31" s="4"/>
    </row>
    <row r="32" customFormat="false" ht="15.75" hidden="false" customHeight="true" outlineLevel="0" collapsed="false">
      <c r="A32" s="22" t="s">
        <v>440</v>
      </c>
      <c r="B32" s="23" t="s">
        <v>441</v>
      </c>
    </row>
    <row r="33" customFormat="false" ht="43.5" hidden="false" customHeight="true" outlineLevel="0" collapsed="false">
      <c r="A33" s="22" t="s">
        <v>442</v>
      </c>
      <c r="B33" s="23" t="s">
        <v>443</v>
      </c>
    </row>
    <row r="34" customFormat="false" ht="15" hidden="false" customHeight="false" outlineLevel="0" collapsed="false">
      <c r="A34" s="22"/>
      <c r="B34" s="23"/>
    </row>
    <row r="35" customFormat="false" ht="15" hidden="false" customHeight="false" outlineLevel="0" collapsed="false">
      <c r="A35" s="9" t="s">
        <v>444</v>
      </c>
      <c r="B35" s="4"/>
    </row>
    <row r="36" customFormat="false" ht="15.75" hidden="false" customHeight="true" outlineLevel="0" collapsed="false">
      <c r="A36" s="22" t="s">
        <v>445</v>
      </c>
      <c r="B36" s="23" t="s">
        <v>446</v>
      </c>
    </row>
    <row r="37" customFormat="false" ht="15.75" hidden="false" customHeight="true" outlineLevel="0" collapsed="false">
      <c r="A37" s="24" t="s">
        <v>447</v>
      </c>
      <c r="B37" s="25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2026-09-27T17:47:02Z</dcterms:created>
  <dc:creator>openpyxl</dc:creator>
  <dc:description/>
  <dc:language>en-US</dc:language>
  <cp:lastModifiedBy/>
  <dcterms:modified xsi:type="dcterms:W3CDTF">2026-09-27T17:47:02Z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